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" sheetId="1" state="visible" r:id="rId3"/>
    <sheet name="Hypotheses" sheetId="2" state="visible" r:id="rId4"/>
    <sheet name="Couts" sheetId="3" state="visible" r:id="rId5"/>
    <sheet name="Rentabilite" sheetId="4" state="visible" r:id="rId6"/>
    <sheet name="Compte_resultat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<sst xmlns="http://schemas.openxmlformats.org/spreadsheetml/2006/main" count="261" uniqueCount="236">
  <si>
    <t xml:space="preserve">Diplo — modèle de rentabilité</t>
  </si>
  <si>
    <t xml:space="preserve">À quoi sert ce classeur</t>
  </si>
  <si>
    <t xml:space="preserve">Il répond à trois questions : l'activité peut-elle être rentable, à partir de combien d'abonnés, et quels leviers actionner.</t>
  </si>
  <si>
    <t xml:space="preserve">Tout est en formules. Change une hypothèse, tout le modèle se recalcule.</t>
  </si>
  <si>
    <t xml:space="preserve">Code couleur</t>
  </si>
  <si>
    <t xml:space="preserve">Bleu sur fond jaune = hypothèse que tu peux modifier. C'est le seul type de cellule à éditer.</t>
  </si>
  <si>
    <t xml:space="preserve">Noir = calcul. Vert = renvoi vers un autre onglet. N'y touche pas.</t>
  </si>
  <si>
    <t xml:space="preserve">Les onglets</t>
  </si>
  <si>
    <t xml:space="preserve">Hypotheses</t>
  </si>
  <si>
    <t xml:space="preserve">Toutes les entrées du modèle, avec leur source. Commence par vérifier celles marquées À CONFIRMER.</t>
  </si>
  <si>
    <t xml:space="preserve">Couts</t>
  </si>
  <si>
    <t xml:space="preserve">Coût variable unitaire de chaque génération IA, puis coût mensuel par profil d'utilisateur.</t>
  </si>
  <si>
    <t xml:space="preserve">Rentabilite</t>
  </si>
  <si>
    <t xml:space="preserve">Marge sur coût variable par abonné et seuil de rentabilité. C'est l'onglet qui donne le verdict.</t>
  </si>
  <si>
    <t xml:space="preserve">Compte_resultat</t>
  </si>
  <si>
    <t xml:space="preserve">Compte de résultat prévisionnel sur 12 mois.</t>
  </si>
  <si>
    <t xml:space="preserve">Scenarios</t>
  </si>
  <si>
    <t xml:space="preserve">Trois configurations comparées : actuelle, optimisée, agressive.</t>
  </si>
  <si>
    <t xml:space="preserve">Régime retenu</t>
  </si>
  <si>
    <t xml:space="preserve">Micro-entreprise, BIC prestations de services. La vente d'abonnements à un logiciel en ligne est une activité</t>
  </si>
  <si>
    <t xml:space="preserve">commerciale standardisée, pas une prestation intellectuelle sur mesure : c'est du BIC, pas du BNC.</t>
  </si>
  <si>
    <t xml:space="preserve">Cet arbitrage te fait économiser 4,4 points de cotisations (21,2 % au lieu de 25,6 %).</t>
  </si>
  <si>
    <t xml:space="preserve">Ce que le modèle ne couvre pas</t>
  </si>
  <si>
    <t xml:space="preserve">Ton temps de travail n'est pas valorisé. Le résultat affiché rémunère donc ton travail avant tout.</t>
  </si>
  <si>
    <t xml:space="preserve">Pas de budget publicitaire : tu pars en organique. Ajoute-le en charge fixe si tu en mets.</t>
  </si>
  <si>
    <t xml:space="preserve">Pas d'impôt sur le revenu hors versement libératoire, ni de CFE en année 1 (exonérée).</t>
  </si>
  <si>
    <t xml:space="preserve">Hypothèses</t>
  </si>
  <si>
    <t xml:space="preserve">Cellules bleues sur fond jaune : à toi de les ajuster. Sources datées de septembre 2026.</t>
  </si>
  <si>
    <t xml:space="preserve">A. OFFRE ET PRIX</t>
  </si>
  <si>
    <t xml:space="preserve">Prix abonnement Pro</t>
  </si>
  <si>
    <t xml:space="preserve">€ / mois</t>
  </si>
  <si>
    <t xml:space="preserve">Prix actuel de l'app</t>
  </si>
  <si>
    <t xml:space="preserve">Prix abonnement Max</t>
  </si>
  <si>
    <t xml:space="preserve">Part des abonnés en Pro</t>
  </si>
  <si>
    <t xml:space="preserve">% des payants</t>
  </si>
  <si>
    <t xml:space="preserve">Hypothèse — À CONFIRMER</t>
  </si>
  <si>
    <t xml:space="preserve">Part des abonnés en Max</t>
  </si>
  <si>
    <t xml:space="preserve">Revenu moyen par abonné (ARPU)</t>
  </si>
  <si>
    <t xml:space="preserve">B. STATUT : MICRO-ENTREPRISE, BIC PRESTATIONS DE SERVICES</t>
  </si>
  <si>
    <t xml:space="preserve">Cotisations sociales BIC prestations de services</t>
  </si>
  <si>
    <t xml:space="preserve">% du CA encaissé</t>
  </si>
  <si>
    <t xml:space="preserve">URSSAF 2026 — compta-online</t>
  </si>
  <si>
    <t xml:space="preserve">Contribution formation professionnelle</t>
  </si>
  <si>
    <t xml:space="preserve">% du CA</t>
  </si>
  <si>
    <t xml:space="preserve">CFP commerçant, s'ajoute aux cotisations</t>
  </si>
  <si>
    <t xml:space="preserve">Versement libératoire IR (BIC services)</t>
  </si>
  <si>
    <t xml:space="preserve">1,7 % — wisestart 2026</t>
  </si>
  <si>
    <t xml:space="preserve">Option versement libératoire (1 = oui, 0 = non)</t>
  </si>
  <si>
    <t xml:space="preserve">0 ou 1</t>
  </si>
  <si>
    <t xml:space="preserve">Éligible si RFR 2024 &lt; 29 315 € / part</t>
  </si>
  <si>
    <t xml:space="preserve">Taux de prélèvement total sur le CA</t>
  </si>
  <si>
    <t xml:space="preserve">Abattement forfaitaire micro-BIC services (information)</t>
  </si>
  <si>
    <t xml:space="preserve">Sert si tu n'optes pas pour le versement libératoire</t>
  </si>
  <si>
    <t xml:space="preserve">Seuil de franchise en base de TVA (services)</t>
  </si>
  <si>
    <t xml:space="preserve">€ / an</t>
  </si>
  <si>
    <t xml:space="preserve">Réforme 25 000 € abandonnée, loi 2025-1044</t>
  </si>
  <si>
    <t xml:space="preserve">Seuil majoré de TVA (tolérance)</t>
  </si>
  <si>
    <t xml:space="preserve">Au-delà : TVA immédiate</t>
  </si>
  <si>
    <t xml:space="preserve">Plafond du régime micro (services)</t>
  </si>
  <si>
    <t xml:space="preserve">Seuil 2026</t>
  </si>
  <si>
    <t xml:space="preserve">C. ENCAISSEMENT DES PAIEMENTS</t>
  </si>
  <si>
    <t xml:space="preserve">Commission Stripe (carte européenne)</t>
  </si>
  <si>
    <t xml:space="preserve">% par transaction</t>
  </si>
  <si>
    <t xml:space="preserve">Stripe France 2026</t>
  </si>
  <si>
    <t xml:space="preserve">Frais fixe Stripe par transaction</t>
  </si>
  <si>
    <t xml:space="preserve">€ par transaction</t>
  </si>
  <si>
    <t xml:space="preserve">D. COÛT DE L'IA (Claude Haiku 4.5)</t>
  </si>
  <si>
    <t xml:space="preserve">Prix des tokens en entrée</t>
  </si>
  <si>
    <t xml:space="preserve">$ / million de tokens</t>
  </si>
  <si>
    <t xml:space="preserve">Tarif Anthropic 2026</t>
  </si>
  <si>
    <t xml:space="preserve">Prix des tokens en sortie</t>
  </si>
  <si>
    <t xml:space="preserve">Taux de change</t>
  </si>
  <si>
    <t xml:space="preserve">€ pour 1 $</t>
  </si>
  <si>
    <t xml:space="preserve">À CONFIRMER selon le cours du jour</t>
  </si>
  <si>
    <t xml:space="preserve">E. ACQUISITION, CONVERSION, RÉTENTION</t>
  </si>
  <si>
    <t xml:space="preserve">Taux de conversion gratuit vers payant</t>
  </si>
  <si>
    <t xml:space="preserve">%</t>
  </si>
  <si>
    <t xml:space="preserve">Médiane freemium 2026 — RevenueCat</t>
  </si>
  <si>
    <t xml:space="preserve">Churn mensuel des abonnés</t>
  </si>
  <si>
    <t xml:space="preserve">% / mois</t>
  </si>
  <si>
    <t xml:space="preserve">Déduit de ~72 % d'annulations en année 1</t>
  </si>
  <si>
    <t xml:space="preserve">Nouveaux inscrits gratuits au mois 1</t>
  </si>
  <si>
    <t xml:space="preserve">inscrits</t>
  </si>
  <si>
    <t xml:space="preserve">Hypothèse de lancement — À CONFIRMER</t>
  </si>
  <si>
    <t xml:space="preserve">Croissance mensuelle des inscriptions</t>
  </si>
  <si>
    <t xml:space="preserve">Hypothèse organique — À CONFIRMER</t>
  </si>
  <si>
    <t xml:space="preserve">Nombre de gratuits à porter pour 1 payant</t>
  </si>
  <si>
    <t xml:space="preserve">C'est le cœur du problème : chaque payant en finance ce nombre-là</t>
  </si>
  <si>
    <t xml:space="preserve">F. CHARGES FIXES MENSUELLES</t>
  </si>
  <si>
    <t xml:space="preserve">Supabase Pro</t>
  </si>
  <si>
    <t xml:space="preserve">$ / mois</t>
  </si>
  <si>
    <t xml:space="preserve">Supabase 2026 — nécessaire au-delà du gratuit</t>
  </si>
  <si>
    <t xml:space="preserve">Lovable Pro</t>
  </si>
  <si>
    <t xml:space="preserve">Lovable 2026</t>
  </si>
  <si>
    <t xml:space="preserve">Nom de domaine</t>
  </si>
  <si>
    <t xml:space="preserve">~18 €/an</t>
  </si>
  <si>
    <t xml:space="preserve">CFE mensualisée</t>
  </si>
  <si>
    <t xml:space="preserve">Exonérée l'année de création</t>
  </si>
  <si>
    <t xml:space="preserve">Autres (pub, outils)</t>
  </si>
  <si>
    <t xml:space="preserve">Organique : 0 €</t>
  </si>
  <si>
    <t xml:space="preserve">Total des charges fixes</t>
  </si>
  <si>
    <t xml:space="preserve">Coût variable de l'IA</t>
  </si>
  <si>
    <t xml:space="preserve">Les volumes de tokens sont des estimations tirées du code des fonctions serveur. Ajuste-les si tu mesures mieux.</t>
  </si>
  <si>
    <t xml:space="preserve">1. COÛT UNITAIRE D'UNE GÉNÉRATION</t>
  </si>
  <si>
    <t xml:space="preserve">Action</t>
  </si>
  <si>
    <t xml:space="preserve">Tokens en entrée</t>
  </si>
  <si>
    <t xml:space="preserve">Tokens en sortie</t>
  </si>
  <si>
    <t xml:space="preserve">Coût unitaire (€)</t>
  </si>
  <si>
    <t xml:space="preserve">Fiche IA (2 morceaux)</t>
  </si>
  <si>
    <t xml:space="preserve">Quizz IA</t>
  </si>
  <si>
    <t xml:space="preserve">Message au coach</t>
  </si>
  <si>
    <t xml:space="preserve">Planning IA</t>
  </si>
  <si>
    <t xml:space="preserve">OCR d'une image</t>
  </si>
  <si>
    <t xml:space="preserve">2. QUOTAS HEBDOMADAIRES PAR PLAN (tels que codés dans l'app)</t>
  </si>
  <si>
    <t xml:space="preserve">Gratuit</t>
  </si>
  <si>
    <t xml:space="preserve">Pro</t>
  </si>
  <si>
    <t xml:space="preserve">Max</t>
  </si>
  <si>
    <t xml:space="preserve">Fiche IA</t>
  </si>
  <si>
    <t xml:space="preserve">3. COÛT IA MENSUEL PAR UTILISATEUR</t>
  </si>
  <si>
    <t xml:space="preserve">Semaines par mois</t>
  </si>
  <si>
    <t xml:space="preserve">semaines</t>
  </si>
  <si>
    <t xml:space="preserve">52 / 12</t>
  </si>
  <si>
    <t xml:space="preserve">Taux d'utilisation du quota — Gratuit</t>
  </si>
  <si>
    <t xml:space="preserve">% du quota</t>
  </si>
  <si>
    <t xml:space="preserve">Taux d'utilisation du quota — Pro</t>
  </si>
  <si>
    <t xml:space="preserve">Taux d'utilisation du quota — Max</t>
  </si>
  <si>
    <t xml:space="preserve">Profil</t>
  </si>
  <si>
    <t xml:space="preserve">Coût si quota saturé</t>
  </si>
  <si>
    <t xml:space="preserve">Coût au taux retenu</t>
  </si>
  <si>
    <t xml:space="preserve">Utilisateur gratuit</t>
  </si>
  <si>
    <t xml:space="preserve">Abonné Pro</t>
  </si>
  <si>
    <t xml:space="preserve">Abonné Max</t>
  </si>
  <si>
    <t xml:space="preserve">Lecture : un abonné Pro qui saturerait tous ses quotas coûterait la valeur de la colonne B en IA.</t>
  </si>
  <si>
    <t xml:space="preserve">À comparer à son abonnement de 4,99 €. Si B est au-dessus, le plan est déficitaire à pleine charge.</t>
  </si>
  <si>
    <t xml:space="preserve">Marge sur coût variable et seuil de rentabilité</t>
  </si>
  <si>
    <t xml:space="preserve">Méthode : on isole ce que rapporte un abonné une fois payés tous les coûts qui varient avec lui.</t>
  </si>
  <si>
    <t xml:space="preserve">1. DÉCOMPOSITION D'UN ABONNÉ MOYEN (par mois)</t>
  </si>
  <si>
    <t xml:space="preserve">Chiffre d'affaires encaissé (ARPU)</t>
  </si>
  <si>
    <t xml:space="preserve">Prix moyen pondéré Pro / Max</t>
  </si>
  <si>
    <t xml:space="preserve">Commission Stripe</t>
  </si>
  <si>
    <t xml:space="preserve">1,5 % + 0,25 € par prélèvement</t>
  </si>
  <si>
    <t xml:space="preserve">Cotisations sociales et versement libératoire</t>
  </si>
  <si>
    <t xml:space="preserve">Assis sur le CA encaissé, sans déduction de charges</t>
  </si>
  <si>
    <t xml:space="preserve">Coût IA de l'abonné lui-même</t>
  </si>
  <si>
    <t xml:space="preserve">Sa propre consommation</t>
  </si>
  <si>
    <t xml:space="preserve">Coût IA des gratuits qu'il finance</t>
  </si>
  <si>
    <t xml:space="preserve">Chaque payant porte les gratuits non convertis</t>
  </si>
  <si>
    <t xml:space="preserve">MARGE SUR COÛT VARIABLE PAR ABONNÉ</t>
  </si>
  <si>
    <t xml:space="preserve">Taux de marge sur coût variable</t>
  </si>
  <si>
    <t xml:space="preserve">2. SEUIL DE RENTABILITÉ</t>
  </si>
  <si>
    <t xml:space="preserve">Charges fixes mensuelles</t>
  </si>
  <si>
    <t xml:space="preserve">Seuil de rentabilité (nombre d'abonnés payants)</t>
  </si>
  <si>
    <t xml:space="preserve">Chiffre d'affaires mensuel au seuil</t>
  </si>
  <si>
    <t xml:space="preserve">Inscrits gratuits nécessaires pour y arriver</t>
  </si>
  <si>
    <t xml:space="preserve">Durée de vie moyenne d'un abonné (mois)</t>
  </si>
  <si>
    <t xml:space="preserve">Valeur vie d'un abonné (LTV, en marge)</t>
  </si>
  <si>
    <t xml:space="preserve">Diagnostic</t>
  </si>
  <si>
    <t xml:space="preserve">3. LE POINT CRITIQUE : LE COÛT DU GRATUIT</t>
  </si>
  <si>
    <t xml:space="preserve">Coût IA mensuel d'un utilisateur gratuit</t>
  </si>
  <si>
    <t xml:space="preserve">Gratuits portés par abonné payant</t>
  </si>
  <si>
    <t xml:space="preserve">Coût total du gratuit rapporté à un payant</t>
  </si>
  <si>
    <t xml:space="preserve">Part du CA d'un abonné absorbée par les gratuits</t>
  </si>
  <si>
    <t xml:space="preserve">Coût gratuit maximal admissible pour rester à l'équilibre</t>
  </si>
  <si>
    <t xml:space="preserve">Au-delà de ce coût par gratuit, l'activité perd de l'argent</t>
  </si>
  <si>
    <t xml:space="preserve">Compte de résultat prévisionnel sur 12 mois</t>
  </si>
  <si>
    <t xml:space="preserve">Hypothèse : les abonnés se cumulent, diminués du churn mensuel.</t>
  </si>
  <si>
    <t xml:space="preserve">Poste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</si>
  <si>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</si>
  <si>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</si>
  <si>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</si>
  <si>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</si>
  <si>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</si>
  <si>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</si>
  <si>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</si>
  <si>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</si>
  <si>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</si>
  <si>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</si>
  <si>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</si>
  <si>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</si>
  <si>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année</t>
  </si>
  <si>
    <t xml:space="preserve">Nouveaux inscrits gratuits</t>
  </si>
  <si>
    <t xml:space="preserve">Base d'utilisateurs gratuits</t>
  </si>
  <si>
    <t xml:space="preserve">Nouveaux abonnés</t>
  </si>
  <si>
    <t xml:space="preserve">Abonnés actifs (après churn)</t>
  </si>
  <si>
    <t xml:space="preserve">Chiffre d'affaires encaissé</t>
  </si>
  <si>
    <t xml:space="preserve">Cotisations et versement libératoire</t>
  </si>
  <si>
    <t xml:space="preserve">Coût IA des abonnés</t>
  </si>
  <si>
    <t xml:space="preserve">Coût IA des utilisateurs gratuits</t>
  </si>
  <si>
    <t xml:space="preserve">Total des coûts variables</t>
  </si>
  <si>
    <t xml:space="preserve">Marge sur coût variable</t>
  </si>
  <si>
    <t xml:space="preserve">Charges fixes</t>
  </si>
  <si>
    <t xml:space="preserve">RÉSULTAT DU MOIS</t>
  </si>
  <si>
    <t xml:space="preserve">Résultat cumulé</t>
  </si>
  <si>
    <t xml:space="preserve">Contrôle des seuils</t>
  </si>
  <si>
    <t xml:space="preserve">CA annuel encaissé</t>
  </si>
  <si>
    <t xml:space="preserve">Sous le seuil de franchise de TVA ?</t>
  </si>
  <si>
    <t xml:space="preserve">Sous le plafond du régime micro ?</t>
  </si>
  <si>
    <t xml:space="preserve">Trois scénarios</t>
  </si>
  <si>
    <t xml:space="preserve">Colonne B = configuration actuelle, reprise du modèle. Colonnes C et D = à toi de jouer avec les leviers.</t>
  </si>
  <si>
    <t xml:space="preserve">Actuel</t>
  </si>
  <si>
    <t xml:space="preserve">Optimisé</t>
  </si>
  <si>
    <t xml:space="preserve">Agressif</t>
  </si>
  <si>
    <t xml:space="preserve">Freemium généreux tel quel</t>
  </si>
  <si>
    <t xml:space="preserve">Gratuit bridé + essai payant</t>
  </si>
  <si>
    <t xml:space="preserve">Essai 7 jours + prix relevés</t>
  </si>
  <si>
    <t xml:space="preserve">LEVIERS</t>
  </si>
  <si>
    <t xml:space="preserve">Prix Pro (€/mois)</t>
  </si>
  <si>
    <t xml:space="preserve">Prix Max (€/mois)</t>
  </si>
  <si>
    <t xml:space="preserve">Taux de conversion vers payant</t>
  </si>
  <si>
    <t xml:space="preserve">Coût IA mensuel d'un gratuit (€)</t>
  </si>
  <si>
    <t xml:space="preserve">Coût IA mensuel d'un abonné (€)</t>
  </si>
  <si>
    <t xml:space="preserve">Churn mensuel</t>
  </si>
  <si>
    <t xml:space="preserve">Charges fixes (€/mois)</t>
  </si>
  <si>
    <t xml:space="preserve">RÉSULTAT PAR ABONNÉ</t>
  </si>
  <si>
    <t xml:space="preserve">ARPU (€)</t>
  </si>
  <si>
    <t xml:space="preserve">Commission Stripe (€)</t>
  </si>
  <si>
    <t xml:space="preserve">Cotisations + IR (€)</t>
  </si>
  <si>
    <t xml:space="preserve">Coût IA de l'abonné (€)</t>
  </si>
  <si>
    <t xml:space="preserve">Gratuits portés par abonné</t>
  </si>
  <si>
    <t xml:space="preserve">Coût IA des gratuits portés (€)</t>
  </si>
  <si>
    <t xml:space="preserve">MARGE SUR COÛT VARIABLE (€)</t>
  </si>
  <si>
    <t xml:space="preserve">VERDICT</t>
  </si>
  <si>
    <t xml:space="preserve">Seuil de rentabilité (abonnés)</t>
  </si>
  <si>
    <t xml:space="preserve">Inscrits gratuits nécessaires</t>
  </si>
  <si>
    <t xml:space="preserve">CA mensuel au seuil (€)</t>
  </si>
  <si>
    <t xml:space="preserve">Valeur vie d'un abonné (€)</t>
  </si>
  <si>
    <t xml:space="preserve">Résultat mensuel à 100 abonnés (€)</t>
  </si>
  <si>
    <t xml:space="preserve">Résultat mensuel à 300 abonnés (€)</t>
  </si>
  <si>
    <t xml:space="preserve">Résultat mensuel à 1 000 abonnés (€)</t>
  </si>
  <si>
    <t xml:space="preserve">CE QUI CHANGE ENTRE LES SCÉNARIOS</t>
  </si>
  <si>
    <t xml:space="preserve">Optimisé : le quota gratuit est divisé par environ quatre, et le gratuit permanent devient un essai qui pousse à payer.</t>
  </si>
  <si>
    <t xml:space="preserve">La conversion passe de 2,1 % à 10,7 %, écart médian mesuré entre freemium et paywall dur (RevenueCat 2026).</t>
  </si>
  <si>
    <t xml:space="preserve">Le coût IA par abonné baisse à 2,50 € en raccourcissant les sorties du modèle et en limitant l'OCR.</t>
  </si>
  <si>
    <t xml:space="preserve">Agressif : mêmes leviers, plus une hausse de prix à 6,99 € et 11,99 €, cohérente avec un produit qui délivre vraiment.</t>
  </si>
  <si>
    <t xml:space="preserve">Le levier décisif n'est pas le prix. C'est le nombre de gratuits que chaque abonné doit financer.</t>
  </si>
  <si>
    <t xml:space="preserve">À 2,1 % de conversion, un abonné en porte 47. À 10,7 %, il n'en porte plus que 8.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</si>
</sst>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&quot; €&quot;;\(#,##0.00&quot; €)&quot;;\-"/>
    <numFmt numFmtId="166" formatCode="0.0%"/>
    <numFmt numFmtId="167" formatCode="0.00%"/>
    <numFmt numFmtId="168" formatCode="#,##0;\(#,##0\);\-"/>
    <numFmt numFmtId="169" formatCode="#,##0&quot; €&quot;;\(#,##0&quot; €)&quot;;\-"/>
    <numFmt numFmtId="170" formatCode="\$#,##0.0000"/>
    <numFmt numFmtId="171" formatCode="#,##0.00;\(#,##0.00\);\-"/>
    <numFmt numFmtId="172" formatCode="#,##0.0000&quot; €&quot;"/>
    <numFmt numFmtId="173" formatCode="#,##0.00&quot; €&quot;;\(#,##0.00&quot; €)&quot;;\-"/>
    <numFmt numFmtId="174" formatCode="#,##0.00;\(#,##0.00\);\-"/>
    <numFmt numFmtId="175" formatCode="#,##0;\(#,##0\);\-"/>
    <numFmt numFmtId="176" formatCode="#,##0&quot; €&quot;;\(#,##0&quot; €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C4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56D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56D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  <c r="B4" s="3" t="s">
        <v>2</v>
      </c>
    </row>
    <row r="5" customFormat="false" ht="15" hidden="false" customHeight="true" outlineLevel="0" collapsed="false">
      <c r="A5" s="3"/>
      <c r="B5" s="3" t="s">
        <v>3</v>
      </c>
    </row>
    <row r="6" customFormat="false" ht="15" hidden="false" customHeight="true" outlineLevel="0" collapsed="false">
      <c r="A6" s="3"/>
      <c r="B6" s="3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3"/>
      <c r="B8" s="3" t="s">
        <v>5</v>
      </c>
    </row>
    <row r="9" customFormat="false" ht="15" hidden="false" customHeight="true" outlineLevel="0" collapsed="false">
      <c r="A9" s="3"/>
      <c r="B9" s="3" t="s">
        <v>6</v>
      </c>
    </row>
    <row r="10" customFormat="false" ht="15" hidden="false" customHeight="true" outlineLevel="0" collapsed="false">
      <c r="A10" s="3"/>
      <c r="B10" s="3"/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  <c r="B12" s="3" t="s">
        <v>9</v>
      </c>
    </row>
    <row r="13" customFormat="false" ht="15" hidden="false" customHeight="true" outlineLevel="0" collapsed="false">
      <c r="A13" s="4" t="s">
        <v>10</v>
      </c>
      <c r="B13" s="3" t="s">
        <v>11</v>
      </c>
    </row>
    <row r="14" customFormat="false" ht="15" hidden="false" customHeight="true" outlineLevel="0" collapsed="false">
      <c r="A14" s="4" t="s">
        <v>12</v>
      </c>
      <c r="B14" s="3" t="s">
        <v>13</v>
      </c>
    </row>
    <row r="15" customFormat="false" ht="15" hidden="false" customHeight="true" outlineLevel="0" collapsed="false">
      <c r="A15" s="4" t="s">
        <v>14</v>
      </c>
      <c r="B15" s="3" t="s">
        <v>15</v>
      </c>
    </row>
    <row r="16" customFormat="false" ht="15" hidden="false" customHeight="true" outlineLevel="0" collapsed="false">
      <c r="A16" s="4" t="s">
        <v>16</v>
      </c>
      <c r="B16" s="3" t="s">
        <v>17</v>
      </c>
    </row>
    <row r="17" customFormat="false" ht="15" hidden="false" customHeight="true" outlineLevel="0" collapsed="false">
      <c r="A17" s="3"/>
      <c r="B17" s="3"/>
    </row>
    <row r="18" customFormat="false" ht="15" hidden="false" customHeight="true" outlineLevel="0" collapsed="false">
      <c r="A18" s="4" t="s">
        <v>18</v>
      </c>
    </row>
    <row r="19" customFormat="false" ht="15" hidden="false" customHeight="true" outlineLevel="0" collapsed="false">
      <c r="A19" s="3"/>
      <c r="B19" s="3" t="s">
        <v>19</v>
      </c>
    </row>
    <row r="20" customFormat="false" ht="15" hidden="false" customHeight="true" outlineLevel="0" collapsed="false">
      <c r="A20" s="3"/>
      <c r="B20" s="3" t="s">
        <v>20</v>
      </c>
    </row>
    <row r="21" customFormat="false" ht="15" hidden="false" customHeight="true" outlineLevel="0" collapsed="false">
      <c r="A21" s="3"/>
      <c r="B21" s="3" t="s">
        <v>21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4" t="s">
        <v>22</v>
      </c>
    </row>
    <row r="24" customFormat="false" ht="15" hidden="false" customHeight="true" outlineLevel="0" collapsed="false">
      <c r="A24" s="3"/>
      <c r="B24" s="3" t="s">
        <v>23</v>
      </c>
    </row>
    <row r="25" customFormat="false" ht="15" hidden="false" customHeight="true" outlineLevel="0" collapsed="false">
      <c r="A25" s="3"/>
      <c r="B25" s="3" t="s">
        <v>24</v>
      </c>
    </row>
    <row r="26" customFormat="false" ht="15" hidden="false" customHeight="true" outlineLevel="0" collapsed="false">
      <c r="A26" s="3"/>
      <c r="B26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46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5" t="s">
        <v>27</v>
      </c>
    </row>
    <row r="4" customFormat="false" ht="15" hidden="false" customHeight="true" outlineLevel="0" collapsed="false">
      <c r="A4" s="6" t="s">
        <v>28</v>
      </c>
      <c r="B4" s="7"/>
      <c r="C4" s="7"/>
      <c r="D4" s="7"/>
      <c r="E4" s="7"/>
      <c r="F4" s="7"/>
    </row>
    <row r="5" customFormat="false" ht="15" hidden="false" customHeight="true" outlineLevel="0" collapsed="false">
      <c r="A5" s="3" t="s">
        <v>29</v>
      </c>
      <c r="B5" s="8" t="n">
        <v>4.99</v>
      </c>
      <c r="C5" s="5" t="s">
        <v>30</v>
      </c>
      <c r="D5" s="5" t="s">
        <v>31</v>
      </c>
    </row>
    <row r="6" customFormat="false" ht="15" hidden="false" customHeight="true" outlineLevel="0" collapsed="false">
      <c r="A6" s="3" t="s">
        <v>32</v>
      </c>
      <c r="B6" s="8" t="n">
        <v>8.99</v>
      </c>
      <c r="C6" s="5" t="s">
        <v>30</v>
      </c>
      <c r="D6" s="5" t="s">
        <v>31</v>
      </c>
    </row>
    <row r="7" customFormat="false" ht="15" hidden="false" customHeight="true" outlineLevel="0" collapsed="false">
      <c r="A7" s="3" t="s">
        <v>33</v>
      </c>
      <c r="B7" s="9" t="n">
        <v>0.7</v>
      </c>
      <c r="C7" s="5" t="s">
        <v>34</v>
      </c>
      <c r="D7" s="5" t="s">
        <v>35</v>
      </c>
    </row>
    <row r="8" customFormat="false" ht="15" hidden="false" customHeight="true" outlineLevel="0" collapsed="false">
      <c r="A8" s="3" t="s">
        <v>36</v>
      </c>
      <c r="B8" s="10" t="n">
        <f aca="false">1-B7</f>
        <v>0.3</v>
      </c>
    </row>
    <row r="9" customFormat="false" ht="15" hidden="false" customHeight="true" outlineLevel="0" collapsed="false">
      <c r="A9" s="4" t="s">
        <v>37</v>
      </c>
      <c r="B9" s="11" t="n">
        <f aca="false">B5*B7+B6*B8</f>
        <v>6.19</v>
      </c>
    </row>
    <row r="11" customFormat="false" ht="15" hidden="false" customHeight="true" outlineLevel="0" collapsed="false">
      <c r="A11" s="6" t="s">
        <v>38</v>
      </c>
      <c r="B11" s="7"/>
      <c r="C11" s="7"/>
      <c r="D11" s="7"/>
      <c r="E11" s="7"/>
      <c r="F11" s="7"/>
    </row>
    <row r="12" customFormat="false" ht="15" hidden="false" customHeight="true" outlineLevel="0" collapsed="false">
      <c r="A12" s="3" t="s">
        <v>39</v>
      </c>
      <c r="B12" s="9" t="n">
        <v>0.212</v>
      </c>
      <c r="C12" s="5" t="s">
        <v>40</v>
      </c>
      <c r="D12" s="5" t="s">
        <v>41</v>
      </c>
    </row>
    <row r="13" customFormat="false" ht="15" hidden="false" customHeight="true" outlineLevel="0" collapsed="false">
      <c r="A13" s="3" t="s">
        <v>42</v>
      </c>
      <c r="B13" s="12" t="n">
        <v>0.001</v>
      </c>
      <c r="C13" s="5" t="s">
        <v>43</v>
      </c>
      <c r="D13" s="5" t="s">
        <v>44</v>
      </c>
    </row>
    <row r="14" customFormat="false" ht="15" hidden="false" customHeight="true" outlineLevel="0" collapsed="false">
      <c r="A14" s="3" t="s">
        <v>45</v>
      </c>
      <c r="B14" s="9" t="n">
        <v>0.017</v>
      </c>
      <c r="C14" s="5" t="s">
        <v>43</v>
      </c>
      <c r="D14" s="5" t="s">
        <v>46</v>
      </c>
    </row>
    <row r="15" customFormat="false" ht="15" hidden="false" customHeight="true" outlineLevel="0" collapsed="false">
      <c r="A15" s="3" t="s">
        <v>47</v>
      </c>
      <c r="B15" s="13" t="n">
        <v>1</v>
      </c>
      <c r="C15" s="5" t="s">
        <v>48</v>
      </c>
      <c r="D15" s="5" t="s">
        <v>49</v>
      </c>
    </row>
    <row r="16" customFormat="false" ht="15" hidden="false" customHeight="true" outlineLevel="0" collapsed="false">
      <c r="A16" s="4" t="s">
        <v>50</v>
      </c>
      <c r="B16" s="14" t="n">
        <f aca="false">B12+B13+B15*B14</f>
        <v>0.23</v>
      </c>
    </row>
    <row r="17" customFormat="false" ht="15" hidden="false" customHeight="true" outlineLevel="0" collapsed="false">
      <c r="A17" s="3" t="s">
        <v>51</v>
      </c>
      <c r="B17" s="15" t="n">
        <v>0.5</v>
      </c>
      <c r="D17" s="5" t="s">
        <v>52</v>
      </c>
    </row>
    <row r="18" customFormat="false" ht="15" hidden="false" customHeight="true" outlineLevel="0" collapsed="false">
      <c r="A18" s="3" t="s">
        <v>53</v>
      </c>
      <c r="B18" s="16" t="n">
        <v>37500</v>
      </c>
      <c r="C18" s="5" t="s">
        <v>54</v>
      </c>
      <c r="D18" s="5" t="s">
        <v>55</v>
      </c>
    </row>
    <row r="19" customFormat="false" ht="15" hidden="false" customHeight="true" outlineLevel="0" collapsed="false">
      <c r="A19" s="3" t="s">
        <v>56</v>
      </c>
      <c r="B19" s="16" t="n">
        <v>41250</v>
      </c>
      <c r="C19" s="5" t="s">
        <v>54</v>
      </c>
      <c r="D19" s="5" t="s">
        <v>57</v>
      </c>
    </row>
    <row r="20" customFormat="false" ht="15" hidden="false" customHeight="true" outlineLevel="0" collapsed="false">
      <c r="A20" s="3" t="s">
        <v>58</v>
      </c>
      <c r="B20" s="16" t="n">
        <v>83600</v>
      </c>
      <c r="C20" s="5" t="s">
        <v>54</v>
      </c>
      <c r="D20" s="5" t="s">
        <v>59</v>
      </c>
    </row>
    <row r="22" customFormat="false" ht="15" hidden="false" customHeight="true" outlineLevel="0" collapsed="false">
      <c r="A22" s="6" t="s">
        <v>60</v>
      </c>
      <c r="B22" s="7"/>
      <c r="C22" s="7"/>
      <c r="D22" s="7"/>
      <c r="E22" s="7"/>
      <c r="F22" s="7"/>
    </row>
    <row r="23" customFormat="false" ht="15" hidden="false" customHeight="true" outlineLevel="0" collapsed="false">
      <c r="A23" s="3" t="s">
        <v>61</v>
      </c>
      <c r="B23" s="9" t="n">
        <v>0.015</v>
      </c>
      <c r="C23" s="5" t="s">
        <v>62</v>
      </c>
      <c r="D23" s="5" t="s">
        <v>63</v>
      </c>
    </row>
    <row r="24" customFormat="false" ht="15" hidden="false" customHeight="true" outlineLevel="0" collapsed="false">
      <c r="A24" s="3" t="s">
        <v>64</v>
      </c>
      <c r="B24" s="8" t="n">
        <v>0.25</v>
      </c>
      <c r="C24" s="5" t="s">
        <v>65</v>
      </c>
      <c r="D24" s="5" t="s">
        <v>63</v>
      </c>
    </row>
    <row r="26" customFormat="false" ht="15" hidden="false" customHeight="true" outlineLevel="0" collapsed="false">
      <c r="A26" s="6" t="s">
        <v>66</v>
      </c>
      <c r="B26" s="7"/>
      <c r="C26" s="7"/>
      <c r="D26" s="7"/>
      <c r="E26" s="7"/>
      <c r="F26" s="7"/>
    </row>
    <row r="27" customFormat="false" ht="15" hidden="false" customHeight="true" outlineLevel="0" collapsed="false">
      <c r="A27" s="3" t="s">
        <v>67</v>
      </c>
      <c r="B27" s="17" t="n">
        <v>1</v>
      </c>
      <c r="C27" s="5" t="s">
        <v>68</v>
      </c>
      <c r="D27" s="5" t="s">
        <v>69</v>
      </c>
    </row>
    <row r="28" customFormat="false" ht="15" hidden="false" customHeight="true" outlineLevel="0" collapsed="false">
      <c r="A28" s="3" t="s">
        <v>70</v>
      </c>
      <c r="B28" s="17" t="n">
        <v>5</v>
      </c>
      <c r="C28" s="5" t="s">
        <v>68</v>
      </c>
      <c r="D28" s="5" t="s">
        <v>69</v>
      </c>
    </row>
    <row r="29" customFormat="false" ht="15" hidden="false" customHeight="true" outlineLevel="0" collapsed="false">
      <c r="A29" s="3" t="s">
        <v>71</v>
      </c>
      <c r="B29" s="18" t="n">
        <v>0.92</v>
      </c>
      <c r="C29" s="5" t="s">
        <v>72</v>
      </c>
      <c r="D29" s="5" t="s">
        <v>73</v>
      </c>
    </row>
    <row r="31" customFormat="false" ht="15" hidden="false" customHeight="true" outlineLevel="0" collapsed="false">
      <c r="A31" s="6" t="s">
        <v>74</v>
      </c>
      <c r="B31" s="7"/>
      <c r="C31" s="7"/>
      <c r="D31" s="7"/>
      <c r="E31" s="7"/>
      <c r="F31" s="7"/>
    </row>
    <row r="32" customFormat="false" ht="15" hidden="false" customHeight="true" outlineLevel="0" collapsed="false">
      <c r="A32" s="3" t="s">
        <v>75</v>
      </c>
      <c r="B32" s="9" t="n">
        <v>0.021</v>
      </c>
      <c r="C32" s="5" t="s">
        <v>76</v>
      </c>
      <c r="D32" s="5" t="s">
        <v>77</v>
      </c>
    </row>
    <row r="33" customFormat="false" ht="15" hidden="false" customHeight="true" outlineLevel="0" collapsed="false">
      <c r="A33" s="3" t="s">
        <v>78</v>
      </c>
      <c r="B33" s="9" t="n">
        <v>0.1</v>
      </c>
      <c r="C33" s="5" t="s">
        <v>79</v>
      </c>
      <c r="D33" s="5" t="s">
        <v>80</v>
      </c>
    </row>
    <row r="34" customFormat="false" ht="15" hidden="false" customHeight="true" outlineLevel="0" collapsed="false">
      <c r="A34" s="3" t="s">
        <v>81</v>
      </c>
      <c r="B34" s="13" t="n">
        <v>300</v>
      </c>
      <c r="C34" s="5" t="s">
        <v>82</v>
      </c>
      <c r="D34" s="5" t="s">
        <v>83</v>
      </c>
    </row>
    <row r="35" customFormat="false" ht="15" hidden="false" customHeight="true" outlineLevel="0" collapsed="false">
      <c r="A35" s="3" t="s">
        <v>84</v>
      </c>
      <c r="B35" s="9" t="n">
        <v>0.2</v>
      </c>
      <c r="C35" s="5" t="s">
        <v>79</v>
      </c>
      <c r="D35" s="5" t="s">
        <v>85</v>
      </c>
    </row>
    <row r="36" customFormat="false" ht="15" hidden="false" customHeight="true" outlineLevel="0" collapsed="false">
      <c r="A36" s="4" t="s">
        <v>86</v>
      </c>
      <c r="B36" s="19" t="n">
        <f aca="false">IF(B32&lt;=0,0,1/B32-1)</f>
        <v>46.6190476190476</v>
      </c>
      <c r="D36" s="5" t="s">
        <v>87</v>
      </c>
    </row>
    <row r="38" customFormat="false" ht="15" hidden="false" customHeight="true" outlineLevel="0" collapsed="false">
      <c r="A38" s="6" t="s">
        <v>88</v>
      </c>
      <c r="B38" s="7"/>
      <c r="C38" s="7"/>
      <c r="D38" s="7"/>
      <c r="E38" s="7"/>
      <c r="F38" s="7"/>
    </row>
    <row r="39" customFormat="false" ht="15" hidden="false" customHeight="true" outlineLevel="0" collapsed="false">
      <c r="A39" s="3" t="s">
        <v>89</v>
      </c>
      <c r="B39" s="13" t="n">
        <v>25</v>
      </c>
      <c r="C39" s="5" t="s">
        <v>90</v>
      </c>
      <c r="D39" s="5" t="s">
        <v>91</v>
      </c>
    </row>
    <row r="40" customFormat="false" ht="15" hidden="false" customHeight="true" outlineLevel="0" collapsed="false">
      <c r="A40" s="3" t="s">
        <v>92</v>
      </c>
      <c r="B40" s="13" t="n">
        <v>25</v>
      </c>
      <c r="C40" s="5" t="s">
        <v>90</v>
      </c>
      <c r="D40" s="5" t="s">
        <v>93</v>
      </c>
    </row>
    <row r="41" customFormat="false" ht="15" hidden="false" customHeight="true" outlineLevel="0" collapsed="false">
      <c r="A41" s="3" t="s">
        <v>94</v>
      </c>
      <c r="B41" s="8" t="n">
        <v>1.5</v>
      </c>
      <c r="C41" s="5" t="s">
        <v>30</v>
      </c>
      <c r="D41" s="5" t="s">
        <v>95</v>
      </c>
    </row>
    <row r="42" customFormat="false" ht="15" hidden="false" customHeight="true" outlineLevel="0" collapsed="false">
      <c r="A42" s="3" t="s">
        <v>96</v>
      </c>
      <c r="B42" s="8" t="n">
        <v>0</v>
      </c>
      <c r="C42" s="5" t="s">
        <v>30</v>
      </c>
      <c r="D42" s="5" t="s">
        <v>97</v>
      </c>
    </row>
    <row r="43" customFormat="false" ht="15" hidden="false" customHeight="true" outlineLevel="0" collapsed="false">
      <c r="A43" s="3" t="s">
        <v>98</v>
      </c>
      <c r="B43" s="8" t="n">
        <v>0</v>
      </c>
      <c r="C43" s="5" t="s">
        <v>30</v>
      </c>
      <c r="D43" s="5" t="s">
        <v>99</v>
      </c>
    </row>
    <row r="44" customFormat="false" ht="15" hidden="false" customHeight="true" outlineLevel="0" collapsed="false">
      <c r="A44" s="4" t="s">
        <v>100</v>
      </c>
      <c r="B44" s="11" t="n">
        <f aca="false">(B39+B40)*B29+B41+B42+B43</f>
        <v>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20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101</v>
      </c>
    </row>
    <row r="2" customFormat="false" ht="15" hidden="false" customHeight="true" outlineLevel="0" collapsed="false">
      <c r="A2" s="5" t="s">
        <v>102</v>
      </c>
    </row>
    <row r="4" customFormat="false" ht="15" hidden="false" customHeight="true" outlineLevel="0" collapsed="false">
      <c r="A4" s="6" t="s">
        <v>103</v>
      </c>
      <c r="B4" s="7"/>
      <c r="C4" s="7"/>
      <c r="D4" s="7"/>
    </row>
    <row r="5" customFormat="false" ht="15" hidden="false" customHeight="true" outlineLevel="0" collapsed="false">
      <c r="A5" s="20" t="s">
        <v>104</v>
      </c>
      <c r="B5" s="20" t="s">
        <v>105</v>
      </c>
      <c r="C5" s="20" t="s">
        <v>106</v>
      </c>
      <c r="D5" s="20" t="s">
        <v>107</v>
      </c>
    </row>
    <row r="6" customFormat="false" ht="15" hidden="false" customHeight="true" outlineLevel="0" collapsed="false">
      <c r="A6" s="3" t="s">
        <v>108</v>
      </c>
      <c r="B6" s="13" t="n">
        <v>4600</v>
      </c>
      <c r="C6" s="13" t="n">
        <v>7500</v>
      </c>
      <c r="D6" s="21" t="n">
        <f aca="false">(B6/1000000*Hypotheses!$B$27+C6/1000000*Hypotheses!$B$28)*Hypotheses!$B$29</f>
        <v>0.038732</v>
      </c>
    </row>
    <row r="7" customFormat="false" ht="15" hidden="false" customHeight="true" outlineLevel="0" collapsed="false">
      <c r="A7" s="3" t="s">
        <v>109</v>
      </c>
      <c r="B7" s="13" t="n">
        <v>8000</v>
      </c>
      <c r="C7" s="13" t="n">
        <v>3000</v>
      </c>
      <c r="D7" s="21" t="n">
        <f aca="false">(B7/1000000*Hypotheses!$B$27+C7/1000000*Hypotheses!$B$28)*Hypotheses!$B$29</f>
        <v>0.02116</v>
      </c>
    </row>
    <row r="8" customFormat="false" ht="15" hidden="false" customHeight="true" outlineLevel="0" collapsed="false">
      <c r="A8" s="3" t="s">
        <v>110</v>
      </c>
      <c r="B8" s="13" t="n">
        <v>2000</v>
      </c>
      <c r="C8" s="13" t="n">
        <v>500</v>
      </c>
      <c r="D8" s="21" t="n">
        <f aca="false">(B8/1000000*Hypotheses!$B$27+C8/1000000*Hypotheses!$B$28)*Hypotheses!$B$29</f>
        <v>0.00414</v>
      </c>
    </row>
    <row r="9" customFormat="false" ht="15" hidden="false" customHeight="true" outlineLevel="0" collapsed="false">
      <c r="A9" s="3" t="s">
        <v>111</v>
      </c>
      <c r="B9" s="13" t="n">
        <v>1500</v>
      </c>
      <c r="C9" s="13" t="n">
        <v>600</v>
      </c>
      <c r="D9" s="21" t="n">
        <f aca="false">(B9/1000000*Hypotheses!$B$27+C9/1000000*Hypotheses!$B$28)*Hypotheses!$B$29</f>
        <v>0.00414</v>
      </c>
    </row>
    <row r="10" customFormat="false" ht="15" hidden="false" customHeight="true" outlineLevel="0" collapsed="false">
      <c r="A10" s="3" t="s">
        <v>112</v>
      </c>
      <c r="B10" s="13" t="n">
        <v>1600</v>
      </c>
      <c r="C10" s="13" t="n">
        <v>800</v>
      </c>
      <c r="D10" s="21" t="n">
        <f aca="false">(B10/1000000*Hypotheses!$B$27+C10/1000000*Hypotheses!$B$28)*Hypotheses!$B$29</f>
        <v>0.005152</v>
      </c>
    </row>
    <row r="12" customFormat="false" ht="15" hidden="false" customHeight="true" outlineLevel="0" collapsed="false">
      <c r="A12" s="6" t="s">
        <v>113</v>
      </c>
      <c r="B12" s="7"/>
      <c r="C12" s="7"/>
      <c r="D12" s="7"/>
    </row>
    <row r="13" customFormat="false" ht="15" hidden="false" customHeight="true" outlineLevel="0" collapsed="false">
      <c r="A13" s="20" t="s">
        <v>104</v>
      </c>
      <c r="B13" s="20" t="s">
        <v>114</v>
      </c>
      <c r="C13" s="20" t="s">
        <v>115</v>
      </c>
      <c r="D13" s="20" t="s">
        <v>116</v>
      </c>
    </row>
    <row r="14" customFormat="false" ht="15" hidden="false" customHeight="true" outlineLevel="0" collapsed="false">
      <c r="A14" s="3" t="s">
        <v>117</v>
      </c>
      <c r="B14" s="13" t="n">
        <v>1</v>
      </c>
      <c r="C14" s="13" t="n">
        <v>3</v>
      </c>
      <c r="D14" s="13" t="n">
        <v>7</v>
      </c>
    </row>
    <row r="15" customFormat="false" ht="15" hidden="false" customHeight="true" outlineLevel="0" collapsed="false">
      <c r="A15" s="3" t="s">
        <v>109</v>
      </c>
      <c r="B15" s="13" t="n">
        <v>7</v>
      </c>
      <c r="C15" s="13" t="n">
        <v>35</v>
      </c>
      <c r="D15" s="13" t="n">
        <v>70</v>
      </c>
    </row>
    <row r="16" customFormat="false" ht="15" hidden="false" customHeight="true" outlineLevel="0" collapsed="false">
      <c r="A16" s="3" t="s">
        <v>110</v>
      </c>
      <c r="B16" s="13" t="n">
        <v>5</v>
      </c>
      <c r="C16" s="13" t="n">
        <v>46</v>
      </c>
      <c r="D16" s="13" t="n">
        <v>115</v>
      </c>
    </row>
    <row r="17" customFormat="false" ht="15" hidden="false" customHeight="true" outlineLevel="0" collapsed="false">
      <c r="A17" s="3" t="s">
        <v>111</v>
      </c>
      <c r="B17" s="13" t="n">
        <v>1</v>
      </c>
      <c r="C17" s="13" t="n">
        <v>2</v>
      </c>
      <c r="D17" s="13" t="n">
        <v>8</v>
      </c>
    </row>
    <row r="18" customFormat="false" ht="15" hidden="false" customHeight="true" outlineLevel="0" collapsed="false">
      <c r="A18" s="3" t="s">
        <v>112</v>
      </c>
      <c r="B18" s="13" t="n">
        <v>12</v>
      </c>
      <c r="C18" s="13" t="n">
        <v>60</v>
      </c>
      <c r="D18" s="13" t="n">
        <v>150</v>
      </c>
    </row>
    <row r="20" customFormat="false" ht="15" hidden="false" customHeight="true" outlineLevel="0" collapsed="false">
      <c r="A20" s="6" t="s">
        <v>118</v>
      </c>
      <c r="B20" s="7"/>
      <c r="C20" s="7"/>
      <c r="D20" s="7"/>
    </row>
    <row r="21" customFormat="false" ht="15" hidden="false" customHeight="true" outlineLevel="0" collapsed="false">
      <c r="A21" s="3" t="s">
        <v>119</v>
      </c>
      <c r="B21" s="18" t="n">
        <v>4.33</v>
      </c>
      <c r="C21" s="5" t="s">
        <v>120</v>
      </c>
      <c r="D21" s="5" t="s">
        <v>121</v>
      </c>
    </row>
    <row r="22" customFormat="false" ht="15" hidden="false" customHeight="true" outlineLevel="0" collapsed="false">
      <c r="A22" s="3" t="s">
        <v>122</v>
      </c>
      <c r="B22" s="9" t="n">
        <v>0.2</v>
      </c>
      <c r="C22" s="5" t="s">
        <v>123</v>
      </c>
      <c r="D22" s="5" t="s">
        <v>35</v>
      </c>
    </row>
    <row r="23" customFormat="false" ht="15" hidden="false" customHeight="true" outlineLevel="0" collapsed="false">
      <c r="A23" s="3" t="s">
        <v>124</v>
      </c>
      <c r="B23" s="9" t="n">
        <v>0.5</v>
      </c>
      <c r="C23" s="5" t="s">
        <v>123</v>
      </c>
      <c r="D23" s="5" t="s">
        <v>35</v>
      </c>
    </row>
    <row r="24" customFormat="false" ht="15" hidden="false" customHeight="true" outlineLevel="0" collapsed="false">
      <c r="A24" s="3" t="s">
        <v>125</v>
      </c>
      <c r="B24" s="9" t="n">
        <v>0.45</v>
      </c>
      <c r="C24" s="5" t="s">
        <v>123</v>
      </c>
      <c r="D24" s="5" t="s">
        <v>35</v>
      </c>
    </row>
    <row r="26" customFormat="false" ht="15" hidden="false" customHeight="true" outlineLevel="0" collapsed="false">
      <c r="A26" s="20" t="s">
        <v>126</v>
      </c>
      <c r="B26" s="20" t="s">
        <v>127</v>
      </c>
      <c r="C26" s="20" t="s">
        <v>128</v>
      </c>
    </row>
    <row r="27" customFormat="false" ht="15" hidden="false" customHeight="true" outlineLevel="0" collapsed="false">
      <c r="A27" s="3" t="s">
        <v>129</v>
      </c>
      <c r="B27" s="22" t="n">
        <f aca="false">SUMPRODUCT($D$6:$D$10,B14:B18)*$B$21</f>
        <v>1.18432428</v>
      </c>
      <c r="C27" s="11" t="n">
        <f aca="false">B27*$B$22</f>
        <v>0.236864856</v>
      </c>
    </row>
    <row r="28" customFormat="false" ht="15" hidden="false" customHeight="true" outlineLevel="0" collapsed="false">
      <c r="A28" s="3" t="s">
        <v>130</v>
      </c>
      <c r="B28" s="22" t="n">
        <f aca="false">SUMPRODUCT($D$6:$D$10,C14:C18)*$B$21</f>
        <v>5.90887388</v>
      </c>
      <c r="C28" s="11" t="n">
        <f aca="false">B28*$B$23</f>
        <v>2.95443694</v>
      </c>
    </row>
    <row r="29" customFormat="false" ht="15" hidden="false" customHeight="true" outlineLevel="0" collapsed="false">
      <c r="A29" s="3" t="s">
        <v>131</v>
      </c>
      <c r="B29" s="22" t="n">
        <f aca="false">SUMPRODUCT($D$6:$D$10,D14:D18)*$B$21</f>
        <v>13.13870952</v>
      </c>
      <c r="C29" s="11" t="n">
        <f aca="false">B29*$B$24</f>
        <v>5.912419284</v>
      </c>
    </row>
    <row r="31" customFormat="false" ht="15" hidden="false" customHeight="true" outlineLevel="0" collapsed="false">
      <c r="A31" s="5" t="s">
        <v>132</v>
      </c>
    </row>
    <row r="32" customFormat="false" ht="15" hidden="false" customHeight="true" outlineLevel="0" collapsed="false">
      <c r="A32" s="5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  <col collapsed="false" customWidth="true" hidden="false" outlineLevel="0" max="3" min="3" style="1" width="58"/>
  </cols>
  <sheetData>
    <row r="1" customFormat="false" ht="17.25" hidden="false" customHeight="true" outlineLevel="0" collapsed="false">
      <c r="A1" s="2" t="s">
        <v>134</v>
      </c>
    </row>
    <row r="2" customFormat="false" ht="15" hidden="false" customHeight="true" outlineLevel="0" collapsed="false">
      <c r="A2" s="5" t="s">
        <v>135</v>
      </c>
    </row>
    <row r="4" customFormat="false" ht="15" hidden="false" customHeight="true" outlineLevel="0" collapsed="false">
      <c r="A4" s="6" t="s">
        <v>136</v>
      </c>
      <c r="B4" s="7"/>
      <c r="C4" s="7"/>
    </row>
    <row r="5" customFormat="false" ht="15" hidden="false" customHeight="true" outlineLevel="0" collapsed="false">
      <c r="A5" s="3" t="s">
        <v>137</v>
      </c>
      <c r="B5" s="22" t="n">
        <f aca="false">Hypotheses!B9</f>
        <v>6.19</v>
      </c>
      <c r="C5" s="5" t="s">
        <v>138</v>
      </c>
    </row>
    <row r="6" customFormat="false" ht="15" hidden="false" customHeight="true" outlineLevel="0" collapsed="false">
      <c r="A6" s="3" t="s">
        <v>139</v>
      </c>
      <c r="B6" s="22" t="n">
        <f aca="false">-(Hypotheses!B9*Hypotheses!B23+Hypotheses!B24)</f>
        <v>-0.34285</v>
      </c>
      <c r="C6" s="5" t="s">
        <v>140</v>
      </c>
    </row>
    <row r="7" customFormat="false" ht="15" hidden="false" customHeight="true" outlineLevel="0" collapsed="false">
      <c r="A7" s="3" t="s">
        <v>141</v>
      </c>
      <c r="B7" s="22" t="n">
        <f aca="false">-Hypotheses!B9*Hypotheses!B16</f>
        <v>-1.4237</v>
      </c>
      <c r="C7" s="5" t="s">
        <v>142</v>
      </c>
    </row>
    <row r="8" customFormat="false" ht="15" hidden="false" customHeight="true" outlineLevel="0" collapsed="false">
      <c r="A8" s="3" t="s">
        <v>143</v>
      </c>
      <c r="B8" s="22" t="n">
        <f aca="false">-(Hypotheses!B7*Couts!C28+Hypotheses!B8*Couts!C29)</f>
        <v>-3.8418316432</v>
      </c>
      <c r="C8" s="5" t="s">
        <v>144</v>
      </c>
    </row>
    <row r="9" customFormat="false" ht="15" hidden="false" customHeight="true" outlineLevel="0" collapsed="false">
      <c r="A9" s="3" t="s">
        <v>145</v>
      </c>
      <c r="B9" s="22" t="n">
        <f aca="false">-Hypotheses!B36*Couts!C27</f>
        <v>-11.0424140011429</v>
      </c>
      <c r="C9" s="5" t="s">
        <v>146</v>
      </c>
    </row>
    <row r="10" customFormat="false" ht="15" hidden="false" customHeight="true" outlineLevel="0" collapsed="false">
      <c r="A10" s="4" t="s">
        <v>147</v>
      </c>
      <c r="B10" s="23" t="n">
        <f aca="false">SUM(B5:B9)</f>
        <v>-10.4607956443429</v>
      </c>
    </row>
    <row r="11" customFormat="false" ht="15" hidden="false" customHeight="true" outlineLevel="0" collapsed="false">
      <c r="A11" s="4" t="s">
        <v>148</v>
      </c>
      <c r="B11" s="14" t="n">
        <f aca="false">IF(B5=0,0,B10/B5)</f>
        <v>-1.68995083107316</v>
      </c>
    </row>
    <row r="13" customFormat="false" ht="15" hidden="false" customHeight="true" outlineLevel="0" collapsed="false">
      <c r="A13" s="6" t="s">
        <v>149</v>
      </c>
      <c r="B13" s="7"/>
      <c r="C13" s="7"/>
    </row>
    <row r="14" customFormat="false" ht="15" hidden="false" customHeight="true" outlineLevel="0" collapsed="false">
      <c r="A14" s="3" t="s">
        <v>150</v>
      </c>
      <c r="B14" s="24" t="n">
        <f aca="false">Hypotheses!B44</f>
        <v>47.5</v>
      </c>
    </row>
    <row r="15" customFormat="false" ht="15" hidden="false" customHeight="true" outlineLevel="0" collapsed="false">
      <c r="A15" s="4" t="s">
        <v>151</v>
      </c>
      <c r="B15" s="25" t="str">
        <f aca="false">IF(B10&lt;=0,"Jamais atteint",B14/B10)</f>
        <v>Jamais atteint</v>
      </c>
    </row>
    <row r="16" customFormat="false" ht="15" hidden="false" customHeight="true" outlineLevel="0" collapsed="false">
      <c r="A16" s="3" t="s">
        <v>152</v>
      </c>
      <c r="B16" s="22" t="str">
        <f aca="false">IF(B10&lt;=0,"Jamais atteint",B15*B5)</f>
        <v>Jamais atteint</v>
      </c>
    </row>
    <row r="17" customFormat="false" ht="15" hidden="false" customHeight="true" outlineLevel="0" collapsed="false">
      <c r="A17" s="3" t="s">
        <v>153</v>
      </c>
      <c r="B17" s="26" t="str">
        <f aca="false">IF(B10&lt;=0,"Jamais atteint",B15/Hypotheses!B32)</f>
        <v>Jamais atteint</v>
      </c>
    </row>
    <row r="18" customFormat="false" ht="15" hidden="false" customHeight="true" outlineLevel="0" collapsed="false">
      <c r="A18" s="3" t="s">
        <v>154</v>
      </c>
      <c r="B18" s="27" t="n">
        <f aca="false">IF(Hypotheses!B33&lt;=0,0,1/Hypotheses!B33)</f>
        <v>10</v>
      </c>
    </row>
    <row r="19" customFormat="false" ht="15" hidden="false" customHeight="true" outlineLevel="0" collapsed="false">
      <c r="A19" s="3" t="s">
        <v>155</v>
      </c>
      <c r="B19" s="22" t="n">
        <f aca="false">B10*B18</f>
        <v>-104.607956443429</v>
      </c>
    </row>
    <row r="21" customFormat="false" ht="30" hidden="false" customHeight="true" outlineLevel="0" collapsed="false">
      <c r="A21" s="4" t="s">
        <v>156</v>
      </c>
      <c r="B21" s="28" t="str">
        <f aca="false">IF(B10&lt;=0,"MODÈLE DÉFICITAIRE : chaque nouvel abonné creuse la perte. Le seuil de rentabilité n'existe pas.",IF(B10&lt;1,"MARGE TRÈS FAIBLE : il faudrait "&amp;TEXT(B15,"# ##0")&amp;" abonnés pour couvrir les charges fixes.","MODÈLE VIABLE : "&amp;TEXT(B15,"# ##0")&amp;" abonnés suffisent à couvrir les charges fixes."))</f>
        <v>MODÈLE DÉFICITAIRE : chaque nouvel abonné creuse la perte. Le seuil de rentabilité n'existe pas.</v>
      </c>
      <c r="C21" s="28"/>
    </row>
    <row r="22" customFormat="false" ht="15" hidden="false" customHeight="true" outlineLevel="0" collapsed="false">
      <c r="B22" s="28"/>
      <c r="C22" s="28"/>
    </row>
    <row r="24" customFormat="false" ht="15" hidden="false" customHeight="true" outlineLevel="0" collapsed="false">
      <c r="A24" s="6" t="s">
        <v>157</v>
      </c>
      <c r="B24" s="7"/>
      <c r="C24" s="7"/>
    </row>
    <row r="25" customFormat="false" ht="15" hidden="false" customHeight="true" outlineLevel="0" collapsed="false">
      <c r="A25" s="3" t="s">
        <v>158</v>
      </c>
      <c r="B25" s="24" t="n">
        <f aca="false">Couts!C27</f>
        <v>0.236864856</v>
      </c>
    </row>
    <row r="26" customFormat="false" ht="15" hidden="false" customHeight="true" outlineLevel="0" collapsed="false">
      <c r="A26" s="3" t="s">
        <v>159</v>
      </c>
      <c r="B26" s="29" t="n">
        <f aca="false">Hypotheses!B36</f>
        <v>46.6190476190476</v>
      </c>
    </row>
    <row r="27" customFormat="false" ht="15" hidden="false" customHeight="true" outlineLevel="0" collapsed="false">
      <c r="A27" s="4" t="s">
        <v>160</v>
      </c>
      <c r="B27" s="11" t="n">
        <f aca="false">B25*B26</f>
        <v>11.0424140011429</v>
      </c>
    </row>
    <row r="28" customFormat="false" ht="15" hidden="false" customHeight="true" outlineLevel="0" collapsed="false">
      <c r="A28" s="4" t="s">
        <v>161</v>
      </c>
      <c r="B28" s="14" t="n">
        <f aca="false">IF(B5=0,0,B27/B5)</f>
        <v>1.78391179339949</v>
      </c>
    </row>
    <row r="30" customFormat="false" ht="15" hidden="false" customHeight="true" outlineLevel="0" collapsed="false">
      <c r="A30" s="4" t="s">
        <v>162</v>
      </c>
      <c r="B30" s="11" t="n">
        <f aca="false">IF(B26=0,0,(B5+B6+B7+B8)/B26)</f>
        <v>0.012475981095812</v>
      </c>
      <c r="C30" s="5" t="s">
        <v>163</v>
      </c>
    </row>
  </sheetData>
  <mergeCells count="1">
    <mergeCell ref="B21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2"/>
    <col collapsed="false" customWidth="true" hidden="false" outlineLevel="0" max="14" min="14" style="1" width="14"/>
  </cols>
  <sheetData>
    <row r="1" customFormat="false" ht="17.25" hidden="false" customHeight="true" outlineLevel="0" collapsed="false">
      <c r="A1" s="2" t="s">
        <v>164</v>
      </c>
    </row>
    <row r="2" customFormat="false" ht="15" hidden="false" customHeight="true" outlineLevel="0" collapsed="false">
      <c r="A2" s="5" t="s">
        <v>165</v>
      </c>
    </row>
    <row r="4" customFormat="false" ht="15" hidden="false" customHeight="true" outlineLevel="0" collapsed="false">
      <c r="A4" s="30" t="s">
        <v>166</v>
      </c>
      <c r="B4" s="31" t="s">
        <v>167</v>
      </c>
      <c r="C4" s="31" t="s">
        <v>168</v>
      </c>
      <c r="D4" s="31" t="s">
        <v>169</v>
      </c>
      <c r="E4" s="31" t="s">
        <v>170</v>
      </c>
      <c r="F4" s="31" t="s">
        <v>171</v>
      </c>
      <c r="G4" s="31" t="s">
        <v>172</v>
      </c>
      <c r="H4" s="31" t="s">
        <v>173</v>
      </c>
      <c r="I4" s="31" t="s">
        <v>174</v>
      </c>
      <c r="J4" s="31" t="s">
        <v>175</v>
      </c>
      <c r="K4" s="31" t="s">
        <v>176</v>
      </c>
      <c r="L4" s="31" t="s">
        <v>177</v>
      </c>
      <c r="M4" s="31" t="s">
        <v>178</v>
      </c>
      <c r="N4" s="20" t="s">
        <v>179</v>
      </c>
    </row>
    <row r="5" customFormat="false" ht="15" hidden="false" customHeight="true" outlineLevel="0" collapsed="false">
      <c r="A5" s="3" t="s">
        <v>180</v>
      </c>
      <c r="B5" s="26" t="n">
        <f aca="false">Hypotheses!$B$34</f>
        <v>300</v>
      </c>
      <c r="C5" s="26" t="n">
        <f aca="false">B5*(1+Hypotheses!$B$35)</f>
        <v>360</v>
      </c>
      <c r="D5" s="26" t="n">
        <f aca="false">C5*(1+Hypotheses!$B$35)</f>
        <v>432</v>
      </c>
      <c r="E5" s="26" t="n">
        <f aca="false">D5*(1+Hypotheses!$B$35)</f>
        <v>518.4</v>
      </c>
      <c r="F5" s="26" t="n">
        <f aca="false">E5*(1+Hypotheses!$B$35)</f>
        <v>622.08</v>
      </c>
      <c r="G5" s="26" t="n">
        <f aca="false">F5*(1+Hypotheses!$B$35)</f>
        <v>746.496</v>
      </c>
      <c r="H5" s="26" t="n">
        <f aca="false">G5*(1+Hypotheses!$B$35)</f>
        <v>895.7952</v>
      </c>
      <c r="I5" s="26" t="n">
        <f aca="false">H5*(1+Hypotheses!$B$35)</f>
        <v>1074.95424</v>
      </c>
      <c r="J5" s="26" t="n">
        <f aca="false">I5*(1+Hypotheses!$B$35)</f>
        <v>1289.945088</v>
      </c>
      <c r="K5" s="26" t="n">
        <f aca="false">J5*(1+Hypotheses!$B$35)</f>
        <v>1547.9341056</v>
      </c>
      <c r="L5" s="26" t="n">
        <f aca="false">K5*(1+Hypotheses!$B$35)</f>
        <v>1857.52092672</v>
      </c>
      <c r="M5" s="26" t="n">
        <f aca="false">L5*(1+Hypotheses!$B$35)</f>
        <v>2229.025112064</v>
      </c>
      <c r="N5" s="25" t="n">
        <f aca="false">SUM(B5:M5)</f>
        <v>11874.150672384</v>
      </c>
    </row>
    <row r="6" customFormat="false" ht="15" hidden="false" customHeight="true" outlineLevel="0" collapsed="false">
      <c r="A6" s="3" t="s">
        <v>181</v>
      </c>
      <c r="B6" s="26" t="n">
        <f aca="false">B5*(1-Hypotheses!$B$32)</f>
        <v>293.7</v>
      </c>
      <c r="C6" s="26" t="n">
        <f aca="false">B6+C5*(1-Hypotheses!$B$32)</f>
        <v>646.14</v>
      </c>
      <c r="D6" s="26" t="n">
        <f aca="false">C6+D5*(1-Hypotheses!$B$32)</f>
        <v>1069.068</v>
      </c>
      <c r="E6" s="26" t="n">
        <f aca="false">D6+E5*(1-Hypotheses!$B$32)</f>
        <v>1576.5816</v>
      </c>
      <c r="F6" s="26" t="n">
        <f aca="false">E6+F5*(1-Hypotheses!$B$32)</f>
        <v>2185.59792</v>
      </c>
      <c r="G6" s="26" t="n">
        <f aca="false">F6+G5*(1-Hypotheses!$B$32)</f>
        <v>2916.417504</v>
      </c>
      <c r="H6" s="26" t="n">
        <f aca="false">G6+H5*(1-Hypotheses!$B$32)</f>
        <v>3793.4010048</v>
      </c>
      <c r="I6" s="26" t="n">
        <f aca="false">H6+I5*(1-Hypotheses!$B$32)</f>
        <v>4845.78120576</v>
      </c>
      <c r="J6" s="26" t="n">
        <f aca="false">I6+J5*(1-Hypotheses!$B$32)</f>
        <v>6108.637446912</v>
      </c>
      <c r="K6" s="26" t="n">
        <f aca="false">J6+K5*(1-Hypotheses!$B$32)</f>
        <v>7624.0649362944</v>
      </c>
      <c r="L6" s="26" t="n">
        <f aca="false">K6+L5*(1-Hypotheses!$B$32)</f>
        <v>9442.57792355328</v>
      </c>
      <c r="M6" s="26" t="n">
        <f aca="false">L6+M5*(1-Hypotheses!$B$32)</f>
        <v>11624.7935082639</v>
      </c>
    </row>
    <row r="7" customFormat="false" ht="15" hidden="false" customHeight="true" outlineLevel="0" collapsed="false">
      <c r="A7" s="3" t="s">
        <v>182</v>
      </c>
      <c r="B7" s="26" t="n">
        <f aca="false">B5*Hypotheses!$B$32</f>
        <v>6.3</v>
      </c>
      <c r="C7" s="26" t="n">
        <f aca="false">C5*Hypotheses!$B$32</f>
        <v>7.56</v>
      </c>
      <c r="D7" s="26" t="n">
        <f aca="false">D5*Hypotheses!$B$32</f>
        <v>9.072</v>
      </c>
      <c r="E7" s="26" t="n">
        <f aca="false">E5*Hypotheses!$B$32</f>
        <v>10.8864</v>
      </c>
      <c r="F7" s="26" t="n">
        <f aca="false">F5*Hypotheses!$B$32</f>
        <v>13.06368</v>
      </c>
      <c r="G7" s="26" t="n">
        <f aca="false">G5*Hypotheses!$B$32</f>
        <v>15.676416</v>
      </c>
      <c r="H7" s="26" t="n">
        <f aca="false">H5*Hypotheses!$B$32</f>
        <v>18.8116992</v>
      </c>
      <c r="I7" s="26" t="n">
        <f aca="false">I5*Hypotheses!$B$32</f>
        <v>22.57403904</v>
      </c>
      <c r="J7" s="26" t="n">
        <f aca="false">J5*Hypotheses!$B$32</f>
        <v>27.088846848</v>
      </c>
      <c r="K7" s="26" t="n">
        <f aca="false">K5*Hypotheses!$B$32</f>
        <v>32.5066162176</v>
      </c>
      <c r="L7" s="26" t="n">
        <f aca="false">L5*Hypotheses!$B$32</f>
        <v>39.00793946112</v>
      </c>
      <c r="M7" s="26" t="n">
        <f aca="false">M5*Hypotheses!$B$32</f>
        <v>46.809527353344</v>
      </c>
      <c r="N7" s="25" t="n">
        <f aca="false">SUM(B7:M7)</f>
        <v>249.357164120064</v>
      </c>
    </row>
    <row r="8" customFormat="false" ht="15" hidden="false" customHeight="true" outlineLevel="0" collapsed="false">
      <c r="A8" s="4" t="s">
        <v>183</v>
      </c>
      <c r="B8" s="32" t="n">
        <f aca="false">B7</f>
        <v>6.3</v>
      </c>
      <c r="C8" s="32" t="n">
        <f aca="false">B8*(1-Hypotheses!$B$33)+C7</f>
        <v>13.23</v>
      </c>
      <c r="D8" s="32" t="n">
        <f aca="false">C8*(1-Hypotheses!$B$33)+D7</f>
        <v>20.979</v>
      </c>
      <c r="E8" s="32" t="n">
        <f aca="false">D8*(1-Hypotheses!$B$33)+E7</f>
        <v>29.7675</v>
      </c>
      <c r="F8" s="32" t="n">
        <f aca="false">E8*(1-Hypotheses!$B$33)+F7</f>
        <v>39.85443</v>
      </c>
      <c r="G8" s="32" t="n">
        <f aca="false">F8*(1-Hypotheses!$B$33)+G7</f>
        <v>51.545403</v>
      </c>
      <c r="H8" s="32" t="n">
        <f aca="false">G8*(1-Hypotheses!$B$33)+H7</f>
        <v>65.2025619</v>
      </c>
      <c r="I8" s="32" t="n">
        <f aca="false">H8*(1-Hypotheses!$B$33)+I7</f>
        <v>81.25634475</v>
      </c>
      <c r="J8" s="32" t="n">
        <f aca="false">I8*(1-Hypotheses!$B$33)+J7</f>
        <v>100.219557123</v>
      </c>
      <c r="K8" s="32" t="n">
        <f aca="false">J8*(1-Hypotheses!$B$33)+K7</f>
        <v>122.7042176283</v>
      </c>
      <c r="L8" s="32" t="n">
        <f aca="false">K8*(1-Hypotheses!$B$33)+L7</f>
        <v>149.44173532659</v>
      </c>
      <c r="M8" s="32" t="n">
        <f aca="false">L8*(1-Hypotheses!$B$33)+M7</f>
        <v>181.307089147275</v>
      </c>
    </row>
    <row r="10" customFormat="false" ht="15" hidden="false" customHeight="true" outlineLevel="0" collapsed="false">
      <c r="A10" s="4" t="s">
        <v>184</v>
      </c>
      <c r="B10" s="11" t="n">
        <f aca="false">B8*Hypotheses!$B$9</f>
        <v>38.997</v>
      </c>
      <c r="C10" s="11" t="n">
        <f aca="false">C8*Hypotheses!$B$9</f>
        <v>81.8937</v>
      </c>
      <c r="D10" s="11" t="n">
        <f aca="false">D8*Hypotheses!$B$9</f>
        <v>129.86001</v>
      </c>
      <c r="E10" s="11" t="n">
        <f aca="false">E8*Hypotheses!$B$9</f>
        <v>184.260825</v>
      </c>
      <c r="F10" s="11" t="n">
        <f aca="false">F8*Hypotheses!$B$9</f>
        <v>246.6989217</v>
      </c>
      <c r="G10" s="11" t="n">
        <f aca="false">G8*Hypotheses!$B$9</f>
        <v>319.06604457</v>
      </c>
      <c r="H10" s="11" t="n">
        <f aca="false">H8*Hypotheses!$B$9</f>
        <v>403.603858161</v>
      </c>
      <c r="I10" s="11" t="n">
        <f aca="false">I8*Hypotheses!$B$9</f>
        <v>502.9767740025</v>
      </c>
      <c r="J10" s="11" t="n">
        <f aca="false">J8*Hypotheses!$B$9</f>
        <v>620.35905859137</v>
      </c>
      <c r="K10" s="11" t="n">
        <f aca="false">K8*Hypotheses!$B$9</f>
        <v>759.539107119177</v>
      </c>
      <c r="L10" s="11" t="n">
        <f aca="false">L8*Hypotheses!$B$9</f>
        <v>925.044341671592</v>
      </c>
      <c r="M10" s="11" t="n">
        <f aca="false">M8*Hypotheses!$B$9</f>
        <v>1122.29088182163</v>
      </c>
      <c r="N10" s="23" t="n">
        <f aca="false">SUM(B10:M10)</f>
        <v>5334.59052263727</v>
      </c>
    </row>
    <row r="11" customFormat="false" ht="15" hidden="false" customHeight="true" outlineLevel="0" collapsed="false">
      <c r="A11" s="3" t="s">
        <v>139</v>
      </c>
      <c r="B11" s="22" t="n">
        <f aca="false">-(B10*Hypotheses!$B$23+B8*Hypotheses!$B$24)</f>
        <v>-2.159955</v>
      </c>
      <c r="C11" s="22" t="n">
        <f aca="false">-(C10*Hypotheses!$B$23+C8*Hypotheses!$B$24)</f>
        <v>-4.5359055</v>
      </c>
      <c r="D11" s="22" t="n">
        <f aca="false">-(D10*Hypotheses!$B$23+D8*Hypotheses!$B$24)</f>
        <v>-7.19265015</v>
      </c>
      <c r="E11" s="22" t="n">
        <f aca="false">-(E10*Hypotheses!$B$23+E8*Hypotheses!$B$24)</f>
        <v>-10.205787375</v>
      </c>
      <c r="F11" s="22" t="n">
        <f aca="false">-(F10*Hypotheses!$B$23+F8*Hypotheses!$B$24)</f>
        <v>-13.6640913255</v>
      </c>
      <c r="G11" s="22" t="n">
        <f aca="false">-(G10*Hypotheses!$B$23+G8*Hypotheses!$B$24)</f>
        <v>-17.67234141855</v>
      </c>
      <c r="H11" s="22" t="n">
        <f aca="false">-(H10*Hypotheses!$B$23+H8*Hypotheses!$B$24)</f>
        <v>-22.354698347415</v>
      </c>
      <c r="I11" s="22" t="n">
        <f aca="false">-(I10*Hypotheses!$B$23+I8*Hypotheses!$B$24)</f>
        <v>-27.8587377975375</v>
      </c>
      <c r="J11" s="22" t="n">
        <f aca="false">-(J10*Hypotheses!$B$23+J8*Hypotheses!$B$24)</f>
        <v>-34.3602751596205</v>
      </c>
      <c r="K11" s="22" t="n">
        <f aca="false">-(K10*Hypotheses!$B$23+K8*Hypotheses!$B$24)</f>
        <v>-42.0691410138627</v>
      </c>
      <c r="L11" s="22" t="n">
        <f aca="false">-(L10*Hypotheses!$B$23+L8*Hypotheses!$B$24)</f>
        <v>-51.2360989567214</v>
      </c>
      <c r="M11" s="22" t="n">
        <f aca="false">-(M10*Hypotheses!$B$23+M8*Hypotheses!$B$24)</f>
        <v>-62.1611355141432</v>
      </c>
      <c r="N11" s="23" t="n">
        <f aca="false">SUM(B11:M11)</f>
        <v>-295.47081755835</v>
      </c>
    </row>
    <row r="12" customFormat="false" ht="15" hidden="false" customHeight="true" outlineLevel="0" collapsed="false">
      <c r="A12" s="3" t="s">
        <v>185</v>
      </c>
      <c r="B12" s="22" t="n">
        <f aca="false">-B10*Hypotheses!$B$16</f>
        <v>-8.96931</v>
      </c>
      <c r="C12" s="22" t="n">
        <f aca="false">-C10*Hypotheses!$B$16</f>
        <v>-18.835551</v>
      </c>
      <c r="D12" s="22" t="n">
        <f aca="false">-D10*Hypotheses!$B$16</f>
        <v>-29.8678023</v>
      </c>
      <c r="E12" s="22" t="n">
        <f aca="false">-E10*Hypotheses!$B$16</f>
        <v>-42.37998975</v>
      </c>
      <c r="F12" s="22" t="n">
        <f aca="false">-F10*Hypotheses!$B$16</f>
        <v>-56.740751991</v>
      </c>
      <c r="G12" s="22" t="n">
        <f aca="false">-G10*Hypotheses!$B$16</f>
        <v>-73.3851902511</v>
      </c>
      <c r="H12" s="22" t="n">
        <f aca="false">-H10*Hypotheses!$B$16</f>
        <v>-92.82888737703</v>
      </c>
      <c r="I12" s="22" t="n">
        <f aca="false">-I10*Hypotheses!$B$16</f>
        <v>-115.684658020575</v>
      </c>
      <c r="J12" s="22" t="n">
        <f aca="false">-J10*Hypotheses!$B$16</f>
        <v>-142.682583476015</v>
      </c>
      <c r="K12" s="22" t="n">
        <f aca="false">-K10*Hypotheses!$B$16</f>
        <v>-174.693994637411</v>
      </c>
      <c r="L12" s="22" t="n">
        <f aca="false">-L10*Hypotheses!$B$16</f>
        <v>-212.760198584466</v>
      </c>
      <c r="M12" s="22" t="n">
        <f aca="false">-M10*Hypotheses!$B$16</f>
        <v>-258.126902818975</v>
      </c>
      <c r="N12" s="23" t="n">
        <f aca="false">SUM(B12:M12)</f>
        <v>-1226.95582020657</v>
      </c>
    </row>
    <row r="13" customFormat="false" ht="15" hidden="false" customHeight="true" outlineLevel="0" collapsed="false">
      <c r="A13" s="3" t="s">
        <v>186</v>
      </c>
      <c r="B13" s="22" t="n">
        <f aca="false">-B8*(Hypotheses!$B$7*Couts!$C$28+Hypotheses!$B$8*Couts!$C$29)</f>
        <v>-24.20353935216</v>
      </c>
      <c r="C13" s="22" t="n">
        <f aca="false">-C8*(Hypotheses!$B$7*Couts!$C$28+Hypotheses!$B$8*Couts!$C$29)</f>
        <v>-50.827432639536</v>
      </c>
      <c r="D13" s="22" t="n">
        <f aca="false">-D8*(Hypotheses!$B$7*Couts!$C$28+Hypotheses!$B$8*Couts!$C$29)</f>
        <v>-80.5977860426928</v>
      </c>
      <c r="E13" s="22" t="n">
        <f aca="false">-E8*(Hypotheses!$B$7*Couts!$C$28+Hypotheses!$B$8*Couts!$C$29)</f>
        <v>-114.361723438956</v>
      </c>
      <c r="F13" s="22" t="n">
        <f aca="false">-F8*(Hypotheses!$B$7*Couts!$C$28+Hypotheses!$B$8*Couts!$C$29)</f>
        <v>-153.114010295699</v>
      </c>
      <c r="G13" s="22" t="n">
        <f aca="false">-G8*(Hypotheses!$B$7*Couts!$C$28+Hypotheses!$B$8*Couts!$C$29)</f>
        <v>-198.028760306896</v>
      </c>
      <c r="H13" s="22" t="n">
        <f aca="false">-H8*(Hypotheses!$B$7*Couts!$C$28+Hypotheses!$B$8*Couts!$C$29)</f>
        <v>-250.497265525127</v>
      </c>
      <c r="I13" s="22" t="n">
        <f aca="false">-I8*(Hypotheses!$B$7*Couts!$C$28+Hypotheses!$B$8*Couts!$C$29)</f>
        <v>-312.173196471318</v>
      </c>
      <c r="J13" s="22" t="n">
        <f aca="false">-J8*(Hypotheses!$B$7*Couts!$C$28+Hypotheses!$B$8*Couts!$C$29)</f>
        <v>-385.026665822631</v>
      </c>
      <c r="K13" s="22" t="n">
        <f aca="false">-K8*(Hypotheses!$B$7*Couts!$C$28+Hypotheses!$B$8*Couts!$C$29)</f>
        <v>-471.408946038502</v>
      </c>
      <c r="L13" s="22" t="n">
        <f aca="false">-L8*(Hypotheses!$B$7*Couts!$C$28+Hypotheses!$B$8*Couts!$C$29)</f>
        <v>-574.129987592413</v>
      </c>
      <c r="M13" s="22" t="n">
        <f aca="false">-M8*(Hypotheses!$B$7*Couts!$C$28+Hypotheses!$B$8*Couts!$C$29)</f>
        <v>-696.551312222484</v>
      </c>
      <c r="N13" s="23" t="n">
        <f aca="false">SUM(B13:M13)</f>
        <v>-3310.92062574842</v>
      </c>
    </row>
    <row r="14" customFormat="false" ht="15" hidden="false" customHeight="true" outlineLevel="0" collapsed="false">
      <c r="A14" s="3" t="s">
        <v>187</v>
      </c>
      <c r="B14" s="22" t="n">
        <f aca="false">-B6*Couts!$C$27</f>
        <v>-69.5672082072</v>
      </c>
      <c r="C14" s="22" t="n">
        <f aca="false">-C6*Couts!$C$27</f>
        <v>-153.04785805584</v>
      </c>
      <c r="D14" s="22" t="n">
        <f aca="false">-D6*Couts!$C$27</f>
        <v>-253.224637874208</v>
      </c>
      <c r="E14" s="22" t="n">
        <f aca="false">-E6*Couts!$C$27</f>
        <v>-373.43677365625</v>
      </c>
      <c r="F14" s="22" t="n">
        <f aca="false">-F6*Couts!$C$27</f>
        <v>-517.6913365947</v>
      </c>
      <c r="G14" s="22" t="n">
        <f aca="false">-G6*Couts!$C$27</f>
        <v>-690.79681212084</v>
      </c>
      <c r="H14" s="22" t="n">
        <f aca="false">-H6*Couts!$C$27</f>
        <v>-898.523382752208</v>
      </c>
      <c r="I14" s="22" t="n">
        <f aca="false">-I6*Couts!$C$27</f>
        <v>-1147.79526750985</v>
      </c>
      <c r="J14" s="22" t="n">
        <f aca="false">-J6*Couts!$C$27</f>
        <v>-1446.92152921902</v>
      </c>
      <c r="K14" s="22" t="n">
        <f aca="false">-K6*Couts!$C$27</f>
        <v>-1805.87304327002</v>
      </c>
      <c r="L14" s="22" t="n">
        <f aca="false">-L6*Couts!$C$27</f>
        <v>-2236.61486013123</v>
      </c>
      <c r="M14" s="22" t="n">
        <f aca="false">-M6*Couts!$C$27</f>
        <v>-2753.50504036467</v>
      </c>
      <c r="N14" s="23" t="n">
        <f aca="false">SUM(B14:M14)</f>
        <v>-12346.997749756</v>
      </c>
    </row>
    <row r="15" customFormat="false" ht="15" hidden="false" customHeight="true" outlineLevel="0" collapsed="false">
      <c r="A15" s="4" t="s">
        <v>188</v>
      </c>
      <c r="B15" s="11" t="n">
        <f aca="false">SUM(B11:B14)</f>
        <v>-104.90001255936</v>
      </c>
      <c r="C15" s="11" t="n">
        <f aca="false">SUM(C11:C14)</f>
        <v>-227.246747195376</v>
      </c>
      <c r="D15" s="11" t="n">
        <f aca="false">SUM(D11:D14)</f>
        <v>-370.882876366901</v>
      </c>
      <c r="E15" s="11" t="n">
        <f aca="false">SUM(E11:E14)</f>
        <v>-540.384274220206</v>
      </c>
      <c r="F15" s="11" t="n">
        <f aca="false">SUM(F11:F14)</f>
        <v>-741.210190206899</v>
      </c>
      <c r="G15" s="11" t="n">
        <f aca="false">SUM(G11:G14)</f>
        <v>-979.883104097386</v>
      </c>
      <c r="H15" s="11" t="n">
        <f aca="false">SUM(H11:H14)</f>
        <v>-1264.20423400178</v>
      </c>
      <c r="I15" s="11" t="n">
        <f aca="false">SUM(I11:I14)</f>
        <v>-1603.51185979928</v>
      </c>
      <c r="J15" s="11" t="n">
        <f aca="false">SUM(J11:J14)</f>
        <v>-2008.99105367729</v>
      </c>
      <c r="K15" s="11" t="n">
        <f aca="false">SUM(K11:K14)</f>
        <v>-2494.0451249598</v>
      </c>
      <c r="L15" s="11" t="n">
        <f aca="false">SUM(L11:L14)</f>
        <v>-3074.74114526483</v>
      </c>
      <c r="M15" s="11" t="n">
        <f aca="false">SUM(M11:M14)</f>
        <v>-3770.34439092028</v>
      </c>
      <c r="N15" s="23" t="n">
        <f aca="false">SUM(B15:M15)</f>
        <v>-17180.3450132694</v>
      </c>
    </row>
    <row r="16" customFormat="false" ht="15" hidden="false" customHeight="true" outlineLevel="0" collapsed="false">
      <c r="A16" s="4" t="s">
        <v>189</v>
      </c>
      <c r="B16" s="11" t="n">
        <f aca="false">B10+B15</f>
        <v>-65.90301255936</v>
      </c>
      <c r="C16" s="11" t="n">
        <f aca="false">C10+C15</f>
        <v>-145.353047195376</v>
      </c>
      <c r="D16" s="11" t="n">
        <f aca="false">D10+D15</f>
        <v>-241.022866366901</v>
      </c>
      <c r="E16" s="11" t="n">
        <f aca="false">E10+E15</f>
        <v>-356.123449220206</v>
      </c>
      <c r="F16" s="11" t="n">
        <f aca="false">F10+F15</f>
        <v>-494.511268506899</v>
      </c>
      <c r="G16" s="11" t="n">
        <f aca="false">G10+G15</f>
        <v>-660.817059527386</v>
      </c>
      <c r="H16" s="11" t="n">
        <f aca="false">H10+H15</f>
        <v>-860.600375840779</v>
      </c>
      <c r="I16" s="11" t="n">
        <f aca="false">I10+I15</f>
        <v>-1100.53508579678</v>
      </c>
      <c r="J16" s="11" t="n">
        <f aca="false">J10+J15</f>
        <v>-1388.63199508592</v>
      </c>
      <c r="K16" s="11" t="n">
        <f aca="false">K10+K15</f>
        <v>-1734.50601784062</v>
      </c>
      <c r="L16" s="11" t="n">
        <f aca="false">L10+L15</f>
        <v>-2149.69680359323</v>
      </c>
      <c r="M16" s="11" t="n">
        <f aca="false">M10+M15</f>
        <v>-2648.05350909864</v>
      </c>
      <c r="N16" s="23" t="n">
        <f aca="false">SUM(B16:M16)</f>
        <v>-11845.7544906321</v>
      </c>
    </row>
    <row r="18" customFormat="false" ht="15" hidden="false" customHeight="true" outlineLevel="0" collapsed="false">
      <c r="A18" s="3" t="s">
        <v>190</v>
      </c>
      <c r="B18" s="22" t="n">
        <f aca="false">-Hypotheses!$B$44</f>
        <v>-47.5</v>
      </c>
      <c r="C18" s="22" t="n">
        <f aca="false">-Hypotheses!$B$44</f>
        <v>-47.5</v>
      </c>
      <c r="D18" s="22" t="n">
        <f aca="false">-Hypotheses!$B$44</f>
        <v>-47.5</v>
      </c>
      <c r="E18" s="22" t="n">
        <f aca="false">-Hypotheses!$B$44</f>
        <v>-47.5</v>
      </c>
      <c r="F18" s="22" t="n">
        <f aca="false">-Hypotheses!$B$44</f>
        <v>-47.5</v>
      </c>
      <c r="G18" s="22" t="n">
        <f aca="false">-Hypotheses!$B$44</f>
        <v>-47.5</v>
      </c>
      <c r="H18" s="22" t="n">
        <f aca="false">-Hypotheses!$B$44</f>
        <v>-47.5</v>
      </c>
      <c r="I18" s="22" t="n">
        <f aca="false">-Hypotheses!$B$44</f>
        <v>-47.5</v>
      </c>
      <c r="J18" s="22" t="n">
        <f aca="false">-Hypotheses!$B$44</f>
        <v>-47.5</v>
      </c>
      <c r="K18" s="22" t="n">
        <f aca="false">-Hypotheses!$B$44</f>
        <v>-47.5</v>
      </c>
      <c r="L18" s="22" t="n">
        <f aca="false">-Hypotheses!$B$44</f>
        <v>-47.5</v>
      </c>
      <c r="M18" s="22" t="n">
        <f aca="false">-Hypotheses!$B$44</f>
        <v>-47.5</v>
      </c>
      <c r="N18" s="23" t="n">
        <f aca="false">SUM(B18:M18)</f>
        <v>-570</v>
      </c>
    </row>
    <row r="19" customFormat="false" ht="15" hidden="false" customHeight="true" outlineLevel="0" collapsed="false">
      <c r="A19" s="4" t="s">
        <v>191</v>
      </c>
      <c r="B19" s="11" t="n">
        <f aca="false">B16+B18</f>
        <v>-113.40301255936</v>
      </c>
      <c r="C19" s="11" t="n">
        <f aca="false">C16+C18</f>
        <v>-192.853047195376</v>
      </c>
      <c r="D19" s="11" t="n">
        <f aca="false">D16+D18</f>
        <v>-288.522866366901</v>
      </c>
      <c r="E19" s="11" t="n">
        <f aca="false">E16+E18</f>
        <v>-403.623449220206</v>
      </c>
      <c r="F19" s="11" t="n">
        <f aca="false">F16+F18</f>
        <v>-542.011268506899</v>
      </c>
      <c r="G19" s="11" t="n">
        <f aca="false">G16+G18</f>
        <v>-708.317059527386</v>
      </c>
      <c r="H19" s="11" t="n">
        <f aca="false">H16+H18</f>
        <v>-908.100375840779</v>
      </c>
      <c r="I19" s="11" t="n">
        <f aca="false">I16+I18</f>
        <v>-1148.03508579678</v>
      </c>
      <c r="J19" s="11" t="n">
        <f aca="false">J16+J18</f>
        <v>-1436.13199508592</v>
      </c>
      <c r="K19" s="11" t="n">
        <f aca="false">K16+K18</f>
        <v>-1782.00601784062</v>
      </c>
      <c r="L19" s="11" t="n">
        <f aca="false">L16+L18</f>
        <v>-2197.19680359323</v>
      </c>
      <c r="M19" s="11" t="n">
        <f aca="false">M16+M18</f>
        <v>-2695.55350909864</v>
      </c>
      <c r="N19" s="23" t="n">
        <f aca="false">SUM(B19:M19)</f>
        <v>-12415.7544906321</v>
      </c>
    </row>
    <row r="20" customFormat="false" ht="15" hidden="false" customHeight="true" outlineLevel="0" collapsed="false">
      <c r="A20" s="4" t="s">
        <v>192</v>
      </c>
      <c r="B20" s="11" t="n">
        <f aca="false">B19</f>
        <v>-113.40301255936</v>
      </c>
      <c r="C20" s="11" t="n">
        <f aca="false">B20+C19</f>
        <v>-306.256059754736</v>
      </c>
      <c r="D20" s="11" t="n">
        <f aca="false">C20+D19</f>
        <v>-594.778926121637</v>
      </c>
      <c r="E20" s="11" t="n">
        <f aca="false">D20+E19</f>
        <v>-998.402375341843</v>
      </c>
      <c r="F20" s="11" t="n">
        <f aca="false">E20+F19</f>
        <v>-1540.41364384874</v>
      </c>
      <c r="G20" s="11" t="n">
        <f aca="false">F20+G19</f>
        <v>-2248.73070337613</v>
      </c>
      <c r="H20" s="11" t="n">
        <f aca="false">G20+H19</f>
        <v>-3156.83107921691</v>
      </c>
      <c r="I20" s="11" t="n">
        <f aca="false">H20+I19</f>
        <v>-4304.86616501369</v>
      </c>
      <c r="J20" s="11" t="n">
        <f aca="false">I20+J19</f>
        <v>-5740.9981600996</v>
      </c>
      <c r="K20" s="11" t="n">
        <f aca="false">J20+K19</f>
        <v>-7523.00417794022</v>
      </c>
      <c r="L20" s="11" t="n">
        <f aca="false">K20+L19</f>
        <v>-9720.20098153346</v>
      </c>
      <c r="M20" s="11" t="n">
        <f aca="false">L20+M19</f>
        <v>-12415.7544906321</v>
      </c>
      <c r="N20" s="23" t="n">
        <f aca="false">M20</f>
        <v>-12415.7544906321</v>
      </c>
    </row>
    <row r="22" customFormat="false" ht="15" hidden="false" customHeight="true" outlineLevel="0" collapsed="false">
      <c r="A22" s="4" t="s">
        <v>193</v>
      </c>
    </row>
    <row r="23" customFormat="false" ht="15" hidden="false" customHeight="true" outlineLevel="0" collapsed="false">
      <c r="A23" s="3" t="s">
        <v>194</v>
      </c>
      <c r="B23" s="22" t="n">
        <f aca="false">N10</f>
        <v>5334.59052263727</v>
      </c>
    </row>
    <row r="24" customFormat="false" ht="15" hidden="false" customHeight="true" outlineLevel="0" collapsed="false">
      <c r="A24" s="3" t="s">
        <v>195</v>
      </c>
      <c r="B24" s="3" t="str">
        <f aca="false">IF(N10&lt;Hypotheses!B18,"Oui, pas de TVA à facturer","NON : TVA à facturer, revoir les prix TTC")</f>
        <v>Oui, pas de TVA à facturer</v>
      </c>
    </row>
    <row r="25" customFormat="false" ht="15" hidden="false" customHeight="true" outlineLevel="0" collapsed="false">
      <c r="A25" s="3" t="s">
        <v>196</v>
      </c>
      <c r="B25" s="3" t="str">
        <f aca="false">IF(N10&lt;Hypotheses!B20,"Oui, régime micro conservé","NON : sortie du régime micro")</f>
        <v>Oui, régime micro conservé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33" t="s">
        <v>197</v>
      </c>
    </row>
    <row r="2" customFormat="false" ht="15" hidden="false" customHeight="false" outlineLevel="0" collapsed="false">
      <c r="A2" s="34" t="s">
        <v>198</v>
      </c>
    </row>
    <row r="4" customFormat="false" ht="15" hidden="false" customHeight="false" outlineLevel="0" collapsed="false">
      <c r="A4" s="31"/>
      <c r="B4" s="31" t="s">
        <v>199</v>
      </c>
      <c r="C4" s="31" t="s">
        <v>200</v>
      </c>
      <c r="D4" s="31" t="s">
        <v>201</v>
      </c>
    </row>
    <row r="5" customFormat="false" ht="15" hidden="false" customHeight="false" outlineLevel="0" collapsed="false">
      <c r="B5" s="34" t="s">
        <v>202</v>
      </c>
      <c r="C5" s="34" t="s">
        <v>203</v>
      </c>
      <c r="D5" s="34" t="s">
        <v>204</v>
      </c>
    </row>
    <row r="6" customFormat="false" ht="15" hidden="false" customHeight="false" outlineLevel="0" collapsed="false">
      <c r="A6" s="35" t="s">
        <v>205</v>
      </c>
      <c r="B6" s="36"/>
      <c r="C6" s="36"/>
      <c r="D6" s="36"/>
    </row>
    <row r="7" customFormat="false" ht="15" hidden="false" customHeight="false" outlineLevel="0" collapsed="false">
      <c r="A7" s="37" t="s">
        <v>206</v>
      </c>
      <c r="B7" s="38" t="n">
        <f aca="false">Hypotheses!B5</f>
        <v>4.99</v>
      </c>
      <c r="C7" s="39" t="n">
        <v>4.99</v>
      </c>
      <c r="D7" s="39" t="n">
        <v>6.99</v>
      </c>
    </row>
    <row r="8" customFormat="false" ht="15" hidden="false" customHeight="false" outlineLevel="0" collapsed="false">
      <c r="A8" s="37" t="s">
        <v>207</v>
      </c>
      <c r="B8" s="38" t="n">
        <f aca="false">Hypotheses!B6</f>
        <v>8.99</v>
      </c>
      <c r="C8" s="39" t="n">
        <v>8.99</v>
      </c>
      <c r="D8" s="39" t="n">
        <v>11.99</v>
      </c>
    </row>
    <row r="9" customFormat="false" ht="15" hidden="false" customHeight="false" outlineLevel="0" collapsed="false">
      <c r="A9" s="37" t="s">
        <v>33</v>
      </c>
      <c r="B9" s="40" t="n">
        <f aca="false">Hypotheses!B7</f>
        <v>0.7</v>
      </c>
      <c r="C9" s="41" t="n">
        <v>0.7</v>
      </c>
      <c r="D9" s="41" t="n">
        <v>0.7</v>
      </c>
    </row>
    <row r="10" customFormat="false" ht="15" hidden="false" customHeight="false" outlineLevel="0" collapsed="false">
      <c r="A10" s="37" t="s">
        <v>208</v>
      </c>
      <c r="B10" s="40" t="n">
        <f aca="false">Hypotheses!B32</f>
        <v>0.021</v>
      </c>
      <c r="C10" s="41" t="n">
        <v>0.107</v>
      </c>
      <c r="D10" s="41" t="n">
        <v>0.107</v>
      </c>
    </row>
    <row r="11" customFormat="false" ht="15" hidden="false" customHeight="false" outlineLevel="0" collapsed="false">
      <c r="A11" s="37" t="s">
        <v>209</v>
      </c>
      <c r="B11" s="38" t="n">
        <f aca="false">Couts!C27</f>
        <v>0.236864856</v>
      </c>
      <c r="C11" s="39" t="n">
        <v>0.06</v>
      </c>
      <c r="D11" s="39" t="n">
        <v>0.03</v>
      </c>
    </row>
    <row r="12" customFormat="false" ht="15" hidden="false" customHeight="false" outlineLevel="0" collapsed="false">
      <c r="A12" s="37" t="s">
        <v>210</v>
      </c>
      <c r="B12" s="38" t="n">
        <f aca="false">Hypotheses!B7*Couts!C28+Hypotheses!B8*Couts!C29</f>
        <v>3.8418316432</v>
      </c>
      <c r="C12" s="39" t="n">
        <v>2.5</v>
      </c>
      <c r="D12" s="39" t="n">
        <v>2.5</v>
      </c>
    </row>
    <row r="13" customFormat="false" ht="15" hidden="false" customHeight="false" outlineLevel="0" collapsed="false">
      <c r="A13" s="37" t="s">
        <v>211</v>
      </c>
      <c r="B13" s="40" t="n">
        <f aca="false">Hypotheses!B33</f>
        <v>0.1</v>
      </c>
      <c r="C13" s="41" t="n">
        <v>0.1</v>
      </c>
      <c r="D13" s="41" t="n">
        <v>0.1</v>
      </c>
    </row>
    <row r="14" customFormat="false" ht="15" hidden="false" customHeight="false" outlineLevel="0" collapsed="false">
      <c r="A14" s="37" t="s">
        <v>212</v>
      </c>
      <c r="B14" s="38" t="n">
        <f aca="false">Hypotheses!B44</f>
        <v>47.5</v>
      </c>
      <c r="C14" s="39" t="n">
        <v>47.5</v>
      </c>
      <c r="D14" s="39" t="n">
        <v>47.5</v>
      </c>
    </row>
    <row r="16" customFormat="false" ht="15" hidden="false" customHeight="false" outlineLevel="0" collapsed="false">
      <c r="A16" s="35" t="s">
        <v>213</v>
      </c>
      <c r="B16" s="36"/>
      <c r="C16" s="36"/>
      <c r="D16" s="36"/>
    </row>
    <row r="17" customFormat="false" ht="15" hidden="false" customHeight="false" outlineLevel="0" collapsed="false">
      <c r="A17" s="37" t="s">
        <v>214</v>
      </c>
      <c r="B17" s="42" t="n">
        <f aca="false">B7*B9+B8*(1-B9)</f>
        <v>6.19</v>
      </c>
      <c r="C17" s="42" t="n">
        <f aca="false">C7*C9+C8*(1-C9)</f>
        <v>6.19</v>
      </c>
      <c r="D17" s="42" t="n">
        <f aca="false">D7*D9+D8*(1-D9)</f>
        <v>8.49</v>
      </c>
    </row>
    <row r="18" customFormat="false" ht="15" hidden="false" customHeight="false" outlineLevel="0" collapsed="false">
      <c r="A18" s="37" t="s">
        <v>215</v>
      </c>
      <c r="B18" s="42" t="n">
        <f aca="false">-(B17*Hypotheses!$B$23+Hypotheses!$B$24)</f>
        <v>-0.34285</v>
      </c>
      <c r="C18" s="42" t="n">
        <f aca="false">-(C17*Hypotheses!$B$23+Hypotheses!$B$24)</f>
        <v>-0.34285</v>
      </c>
      <c r="D18" s="42" t="n">
        <f aca="false">-(D17*Hypotheses!$B$23+Hypotheses!$B$24)</f>
        <v>-0.37735</v>
      </c>
    </row>
    <row r="19" customFormat="false" ht="15" hidden="false" customHeight="false" outlineLevel="0" collapsed="false">
      <c r="A19" s="37" t="s">
        <v>216</v>
      </c>
      <c r="B19" s="42" t="n">
        <f aca="false">-B17*Hypotheses!$B$16</f>
        <v>-1.4237</v>
      </c>
      <c r="C19" s="42" t="n">
        <f aca="false">-C17*Hypotheses!$B$16</f>
        <v>-1.4237</v>
      </c>
      <c r="D19" s="42" t="n">
        <f aca="false">-D17*Hypotheses!$B$16</f>
        <v>-1.9527</v>
      </c>
    </row>
    <row r="20" customFormat="false" ht="15" hidden="false" customHeight="false" outlineLevel="0" collapsed="false">
      <c r="A20" s="37" t="s">
        <v>217</v>
      </c>
      <c r="B20" s="42" t="n">
        <f aca="false">-B12</f>
        <v>-3.8418316432</v>
      </c>
      <c r="C20" s="42" t="n">
        <f aca="false">-C12</f>
        <v>-2.5</v>
      </c>
      <c r="D20" s="42" t="n">
        <f aca="false">-D12</f>
        <v>-2.5</v>
      </c>
    </row>
    <row r="21" customFormat="false" ht="15" hidden="false" customHeight="false" outlineLevel="0" collapsed="false">
      <c r="A21" s="37" t="s">
        <v>218</v>
      </c>
      <c r="B21" s="43" t="n">
        <f aca="false">IF(B10&lt;=0,0,1/B10-1)</f>
        <v>46.6190476190476</v>
      </c>
      <c r="C21" s="43" t="n">
        <f aca="false">IF(C10&lt;=0,0,1/C10-1)</f>
        <v>8.34579439252337</v>
      </c>
      <c r="D21" s="43" t="n">
        <f aca="false">IF(D10&lt;=0,0,1/D10-1)</f>
        <v>8.34579439252337</v>
      </c>
    </row>
    <row r="22" customFormat="false" ht="15" hidden="false" customHeight="false" outlineLevel="0" collapsed="false">
      <c r="A22" s="37" t="s">
        <v>219</v>
      </c>
      <c r="B22" s="42" t="n">
        <f aca="false">-B21*B11</f>
        <v>-11.0424140011429</v>
      </c>
      <c r="C22" s="42" t="n">
        <f aca="false">-C21*C11</f>
        <v>-0.500747663551402</v>
      </c>
      <c r="D22" s="42" t="n">
        <f aca="false">-D21*D11</f>
        <v>-0.250373831775701</v>
      </c>
    </row>
    <row r="23" customFormat="false" ht="15" hidden="false" customHeight="false" outlineLevel="0" collapsed="false">
      <c r="A23" s="44" t="s">
        <v>220</v>
      </c>
      <c r="B23" s="45" t="n">
        <f aca="false">B17+B18+B19+B20+B22</f>
        <v>-10.4607956443429</v>
      </c>
      <c r="C23" s="45" t="n">
        <f aca="false">C17+C18+C19+C20+C22</f>
        <v>1.4227023364486</v>
      </c>
      <c r="D23" s="45" t="n">
        <f aca="false">D17+D18+D19+D20+D22</f>
        <v>3.4095761682243</v>
      </c>
    </row>
    <row r="25" customFormat="false" ht="15" hidden="false" customHeight="false" outlineLevel="0" collapsed="false">
      <c r="A25" s="35" t="s">
        <v>221</v>
      </c>
      <c r="B25" s="36"/>
      <c r="C25" s="36"/>
      <c r="D25" s="36"/>
    </row>
    <row r="26" customFormat="false" ht="15" hidden="false" customHeight="false" outlineLevel="0" collapsed="false">
      <c r="A26" s="44" t="s">
        <v>222</v>
      </c>
      <c r="B26" s="46" t="str">
        <f aca="false">IF(B23&lt;=0,"Jamais atteint",B14/B23)</f>
        <v>Jamais atteint</v>
      </c>
      <c r="C26" s="46" t="n">
        <f aca="false">IF(C23&lt;=0,"Jamais atteint",C14/C23)</f>
        <v>33.3871666497514</v>
      </c>
      <c r="D26" s="46" t="n">
        <f aca="false">IF(D23&lt;=0,"Jamais atteint",D14/D23)</f>
        <v>13.9313503076067</v>
      </c>
    </row>
    <row r="27" customFormat="false" ht="15" hidden="false" customHeight="false" outlineLevel="0" collapsed="false">
      <c r="A27" s="37" t="s">
        <v>223</v>
      </c>
      <c r="B27" s="47" t="str">
        <f aca="false">IF(B23&lt;=0,"Jamais atteint",B26/B10)</f>
        <v>Jamais atteint</v>
      </c>
      <c r="C27" s="47" t="n">
        <f aca="false">IF(C23&lt;=0,"Jamais atteint",C26/C10)</f>
        <v>312.02959485749</v>
      </c>
      <c r="D27" s="47" t="n">
        <f aca="false">IF(D23&lt;=0,"Jamais atteint",D26/D10)</f>
        <v>130.199535585109</v>
      </c>
    </row>
    <row r="28" customFormat="false" ht="15" hidden="false" customHeight="false" outlineLevel="0" collapsed="false">
      <c r="A28" s="37" t="s">
        <v>224</v>
      </c>
      <c r="B28" s="48" t="str">
        <f aca="false">IF(B23&lt;=0,"Jamais atteint",B26*B17)</f>
        <v>Jamais atteint</v>
      </c>
      <c r="C28" s="48" t="n">
        <f aca="false">IF(C23&lt;=0,"Jamais atteint",C26*C17)</f>
        <v>206.666561561961</v>
      </c>
      <c r="D28" s="48" t="n">
        <f aca="false">IF(D23&lt;=0,"Jamais atteint",D26*D17)</f>
        <v>118.277164111581</v>
      </c>
    </row>
    <row r="29" customFormat="false" ht="15" hidden="false" customHeight="false" outlineLevel="0" collapsed="false">
      <c r="A29" s="37" t="s">
        <v>225</v>
      </c>
      <c r="B29" s="42" t="n">
        <f aca="false">IF(B13&lt;=0,0,B23/B13)</f>
        <v>-104.607956443429</v>
      </c>
      <c r="C29" s="42" t="n">
        <f aca="false">IF(C13&lt;=0,0,C23/C13)</f>
        <v>14.227023364486</v>
      </c>
      <c r="D29" s="42" t="n">
        <f aca="false">IF(D13&lt;=0,0,D23/D13)</f>
        <v>34.095761682243</v>
      </c>
    </row>
    <row r="31" customFormat="false" ht="15" hidden="false" customHeight="false" outlineLevel="0" collapsed="false">
      <c r="A31" s="44" t="s">
        <v>226</v>
      </c>
      <c r="B31" s="49" t="n">
        <f aca="false">100*B23-B14</f>
        <v>-1093.57956443429</v>
      </c>
      <c r="C31" s="49" t="n">
        <f aca="false">100*C23-C14</f>
        <v>94.7702336448598</v>
      </c>
      <c r="D31" s="49" t="n">
        <f aca="false">100*D23-D14</f>
        <v>293.45761682243</v>
      </c>
    </row>
    <row r="32" customFormat="false" ht="15" hidden="false" customHeight="false" outlineLevel="0" collapsed="false">
      <c r="A32" s="44" t="s">
        <v>227</v>
      </c>
      <c r="B32" s="49" t="n">
        <f aca="false">300*B23-B14</f>
        <v>-3185.73869330286</v>
      </c>
      <c r="C32" s="49" t="n">
        <f aca="false">300*C23-C14</f>
        <v>379.310700934579</v>
      </c>
      <c r="D32" s="49" t="n">
        <f aca="false">300*D23-D14</f>
        <v>975.37285046729</v>
      </c>
    </row>
    <row r="33" customFormat="false" ht="15" hidden="false" customHeight="false" outlineLevel="0" collapsed="false">
      <c r="A33" s="44" t="s">
        <v>228</v>
      </c>
      <c r="B33" s="50" t="n">
        <f aca="false">1000*B23-B14</f>
        <v>-10508.2956443429</v>
      </c>
      <c r="C33" s="50" t="n">
        <f aca="false">1000*C23-C14</f>
        <v>1375.2023364486</v>
      </c>
      <c r="D33" s="50" t="n">
        <f aca="false">1000*D23-D14</f>
        <v>3362.0761682243</v>
      </c>
    </row>
    <row r="35" customFormat="false" ht="15" hidden="false" customHeight="false" outlineLevel="0" collapsed="false">
      <c r="A35" s="35" t="s">
        <v>229</v>
      </c>
      <c r="B35" s="36"/>
      <c r="C35" s="36"/>
      <c r="D35" s="36"/>
    </row>
    <row r="36" customFormat="false" ht="15" hidden="false" customHeight="false" outlineLevel="0" collapsed="false">
      <c r="A36" s="34" t="s">
        <v>230</v>
      </c>
    </row>
    <row r="37" customFormat="false" ht="15" hidden="false" customHeight="false" outlineLevel="0" collapsed="false">
      <c r="A37" s="34" t="s">
        <v>231</v>
      </c>
    </row>
    <row r="38" customFormat="false" ht="15" hidden="false" customHeight="false" outlineLevel="0" collapsed="false">
      <c r="A38" s="34" t="s">
        <v>232</v>
      </c>
    </row>
    <row r="39" customFormat="false" ht="15" hidden="false" customHeight="false" outlineLevel="0" collapsed="false">
      <c r="A39" s="34" t="s">
        <v>233</v>
      </c>
    </row>
    <row r="40" customFormat="false" ht="15" hidden="false" customHeight="false" outlineLevel="0" collapsed="false">
      <c r="A40" s="37"/>
    </row>
    <row r="41" customFormat="false" ht="15" hidden="false" customHeight="false" outlineLevel="0" collapsed="false">
      <c r="A41" s="34" t="s">
        <v>234</v>
      </c>
    </row>
    <row r="42" customFormat="false" ht="15" hidden="false" customHeight="false" outlineLevel="0" collapsed="false">
      <c r="A42" s="3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2026-09-09T07:15:13Z</dcterms:created>
  <dc:creator>openpyxl</dc:creator>
  <dc:description/>
  <dc:language>en-US</dc:language>
  <cp:lastModifiedBy/>
  <dcterms:modified xsi:type="dcterms:W3CDTF">2026-09-09T07:16:30Z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